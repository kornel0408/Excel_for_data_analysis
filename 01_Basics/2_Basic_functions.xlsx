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https://d.docs.live.net/0f351d28db509a5b/EXCEL/"/>
    </mc:Choice>
  </mc:AlternateContent>
  <xr:revisionPtr revIDLastSave="0" documentId="8_{F1C4EF64-8A4D-4E9A-BFFB-4AD20B0448EB}" xr6:coauthVersionLast="47" xr6:coauthVersionMax="47" xr10:uidLastSave="{00000000-0000-0000-0000-000000000000}"/>
  <bookViews>
    <workbookView xWindow="-108" yWindow="-108" windowWidth="23256" windowHeight="12456" activeTab="1" xr2:uid="{00000000-000D-0000-FFFF-FFFF00000000}"/>
  </bookViews>
  <sheets>
    <sheet name="Original_data_Set" sheetId="1" r:id="rId1"/>
    <sheet name="New_column_and_basic_functions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K3" i="2" l="1"/>
  <c r="K4" i="2"/>
  <c r="K5" i="2"/>
  <c r="K6" i="2"/>
  <c r="K7" i="2"/>
  <c r="K8" i="2"/>
  <c r="K9" i="2"/>
  <c r="K10" i="2"/>
  <c r="K11" i="2"/>
  <c r="K12" i="2"/>
  <c r="K13" i="2"/>
  <c r="K14" i="2"/>
  <c r="K15" i="2"/>
  <c r="K16" i="2"/>
  <c r="K17" i="2"/>
  <c r="K18" i="2"/>
  <c r="K19" i="2"/>
  <c r="K20" i="2"/>
  <c r="K21" i="2"/>
  <c r="K22" i="2"/>
  <c r="K23" i="2"/>
  <c r="K24" i="2"/>
  <c r="K25" i="2"/>
  <c r="K26" i="2"/>
  <c r="K27" i="2"/>
  <c r="K28" i="2"/>
  <c r="K29" i="2"/>
  <c r="K30" i="2"/>
  <c r="K31" i="2"/>
  <c r="K32" i="2"/>
  <c r="K33" i="2"/>
  <c r="K34" i="2"/>
  <c r="K35" i="2"/>
  <c r="K36" i="2"/>
  <c r="K37" i="2"/>
  <c r="K38" i="2"/>
  <c r="K39" i="2"/>
  <c r="K40" i="2"/>
  <c r="K41" i="2"/>
  <c r="K42" i="2"/>
  <c r="K43" i="2"/>
  <c r="K44" i="2"/>
  <c r="K45" i="2"/>
  <c r="K46" i="2"/>
  <c r="K47" i="2"/>
  <c r="K48" i="2"/>
  <c r="K49" i="2"/>
  <c r="K50" i="2"/>
  <c r="K51" i="2"/>
  <c r="K52" i="2"/>
  <c r="K53" i="2"/>
  <c r="K54" i="2"/>
  <c r="K55" i="2"/>
  <c r="K56" i="2"/>
  <c r="K57" i="2"/>
  <c r="K58" i="2"/>
  <c r="K59" i="2"/>
  <c r="K60" i="2"/>
  <c r="K61" i="2"/>
  <c r="K62" i="2"/>
  <c r="K63" i="2"/>
  <c r="K64" i="2"/>
  <c r="K65" i="2"/>
  <c r="K66" i="2"/>
  <c r="K67" i="2"/>
  <c r="K68" i="2"/>
  <c r="K69" i="2"/>
  <c r="K70" i="2"/>
  <c r="K71" i="2"/>
  <c r="K72" i="2"/>
  <c r="K73" i="2"/>
  <c r="K74" i="2"/>
  <c r="K75" i="2"/>
  <c r="K76" i="2"/>
  <c r="K77" i="2"/>
  <c r="K78" i="2"/>
  <c r="K79" i="2"/>
  <c r="K80" i="2"/>
  <c r="K81" i="2"/>
  <c r="K82" i="2"/>
  <c r="K83" i="2"/>
  <c r="K84" i="2"/>
  <c r="K85" i="2"/>
  <c r="K86" i="2"/>
  <c r="K87" i="2"/>
  <c r="K88" i="2"/>
  <c r="K89" i="2"/>
  <c r="K90" i="2"/>
  <c r="K91" i="2"/>
  <c r="K92" i="2"/>
  <c r="K93" i="2"/>
  <c r="K94" i="2"/>
  <c r="K95" i="2"/>
  <c r="K96" i="2"/>
  <c r="K97" i="2"/>
  <c r="K98" i="2"/>
  <c r="K99" i="2"/>
  <c r="K100" i="2"/>
  <c r="K101" i="2"/>
  <c r="K102" i="2"/>
  <c r="K103" i="2"/>
  <c r="K104" i="2"/>
  <c r="K105" i="2"/>
  <c r="K106" i="2"/>
  <c r="K107" i="2"/>
  <c r="K108" i="2"/>
  <c r="K109" i="2"/>
  <c r="K110" i="2"/>
  <c r="K111" i="2"/>
  <c r="K112" i="2"/>
  <c r="K113" i="2"/>
  <c r="K114" i="2"/>
  <c r="K115" i="2"/>
  <c r="K116" i="2"/>
  <c r="K117" i="2"/>
  <c r="K118" i="2"/>
  <c r="K119" i="2"/>
  <c r="K120" i="2"/>
  <c r="K121" i="2"/>
  <c r="K122" i="2"/>
  <c r="K123" i="2"/>
  <c r="K124" i="2"/>
  <c r="K125" i="2"/>
  <c r="K126" i="2"/>
  <c r="K127" i="2"/>
  <c r="K128" i="2"/>
  <c r="K129" i="2"/>
  <c r="K130" i="2"/>
  <c r="K131" i="2"/>
  <c r="K132" i="2"/>
  <c r="K133" i="2"/>
  <c r="K134" i="2"/>
  <c r="K135" i="2"/>
  <c r="K136" i="2"/>
  <c r="K137" i="2"/>
  <c r="K138" i="2"/>
  <c r="K139" i="2"/>
  <c r="K140" i="2"/>
  <c r="K141" i="2"/>
  <c r="K142" i="2"/>
  <c r="K143" i="2"/>
  <c r="K144" i="2"/>
  <c r="K145" i="2"/>
  <c r="K146" i="2"/>
  <c r="K147" i="2"/>
  <c r="K148" i="2"/>
  <c r="K149" i="2"/>
  <c r="K150" i="2"/>
  <c r="K151" i="2"/>
  <c r="K152" i="2"/>
  <c r="K153" i="2"/>
  <c r="K154" i="2"/>
  <c r="K155" i="2"/>
  <c r="K156" i="2"/>
  <c r="K157" i="2"/>
  <c r="K158" i="2"/>
  <c r="K159" i="2"/>
  <c r="K160" i="2"/>
  <c r="K161" i="2"/>
  <c r="K162" i="2"/>
  <c r="K163" i="2"/>
  <c r="K164" i="2"/>
  <c r="K165" i="2"/>
  <c r="K166" i="2"/>
  <c r="K167" i="2"/>
  <c r="K168" i="2"/>
  <c r="K169" i="2"/>
  <c r="K170" i="2"/>
  <c r="K171" i="2"/>
  <c r="K172" i="2"/>
  <c r="K173" i="2"/>
  <c r="K174" i="2"/>
  <c r="K175" i="2"/>
  <c r="K176" i="2"/>
  <c r="K177" i="2"/>
  <c r="K178" i="2"/>
  <c r="K179" i="2"/>
  <c r="K180" i="2"/>
  <c r="K181" i="2"/>
  <c r="K182" i="2"/>
  <c r="K183" i="2"/>
  <c r="K184" i="2"/>
  <c r="K185" i="2"/>
  <c r="K186" i="2"/>
  <c r="K187" i="2"/>
  <c r="K188" i="2"/>
  <c r="K189" i="2"/>
  <c r="K190" i="2"/>
  <c r="K191" i="2"/>
  <c r="K192" i="2"/>
  <c r="K193" i="2"/>
  <c r="K194" i="2"/>
  <c r="K195" i="2"/>
  <c r="K196" i="2"/>
  <c r="K197" i="2"/>
  <c r="K198" i="2"/>
  <c r="K199" i="2"/>
  <c r="K200" i="2"/>
  <c r="K201" i="2"/>
  <c r="K2" i="2"/>
  <c r="N19" i="2"/>
  <c r="N20" i="2"/>
  <c r="N18" i="2"/>
  <c r="M17" i="2" a="1"/>
  <c r="M17" i="2" s="1"/>
  <c r="N17" i="2"/>
  <c r="J3" i="2"/>
  <c r="J4" i="2"/>
  <c r="J5" i="2"/>
  <c r="J6" i="2"/>
  <c r="J7" i="2"/>
  <c r="J8" i="2"/>
  <c r="J9" i="2"/>
  <c r="J10" i="2"/>
  <c r="J11" i="2"/>
  <c r="J12" i="2"/>
  <c r="J13" i="2"/>
  <c r="J14" i="2"/>
  <c r="J15" i="2"/>
  <c r="J16" i="2"/>
  <c r="J17" i="2"/>
  <c r="J18" i="2"/>
  <c r="J19" i="2"/>
  <c r="J20" i="2"/>
  <c r="J21" i="2"/>
  <c r="J22" i="2"/>
  <c r="J23" i="2"/>
  <c r="J24" i="2"/>
  <c r="J25" i="2"/>
  <c r="J26" i="2"/>
  <c r="J27" i="2"/>
  <c r="J28" i="2"/>
  <c r="J29" i="2"/>
  <c r="J30" i="2"/>
  <c r="J31" i="2"/>
  <c r="J32" i="2"/>
  <c r="J33" i="2"/>
  <c r="J34" i="2"/>
  <c r="J35" i="2"/>
  <c r="J36" i="2"/>
  <c r="J37" i="2"/>
  <c r="J38" i="2"/>
  <c r="J39" i="2"/>
  <c r="J40" i="2"/>
  <c r="J41" i="2"/>
  <c r="J42" i="2"/>
  <c r="J43" i="2"/>
  <c r="J44" i="2"/>
  <c r="J45" i="2"/>
  <c r="J46" i="2"/>
  <c r="J47" i="2"/>
  <c r="J48" i="2"/>
  <c r="J49" i="2"/>
  <c r="J50" i="2"/>
  <c r="J51" i="2"/>
  <c r="J52" i="2"/>
  <c r="J53" i="2"/>
  <c r="J54" i="2"/>
  <c r="J55" i="2"/>
  <c r="J56" i="2"/>
  <c r="J57" i="2"/>
  <c r="J58" i="2"/>
  <c r="J59" i="2"/>
  <c r="J60" i="2"/>
  <c r="J61" i="2"/>
  <c r="J62" i="2"/>
  <c r="J63" i="2"/>
  <c r="J64" i="2"/>
  <c r="J65" i="2"/>
  <c r="J66" i="2"/>
  <c r="J67" i="2"/>
  <c r="J68" i="2"/>
  <c r="J69" i="2"/>
  <c r="J70" i="2"/>
  <c r="J71" i="2"/>
  <c r="J72" i="2"/>
  <c r="J73" i="2"/>
  <c r="J74" i="2"/>
  <c r="J75" i="2"/>
  <c r="J76" i="2"/>
  <c r="J77" i="2"/>
  <c r="J78" i="2"/>
  <c r="J79" i="2"/>
  <c r="J80" i="2"/>
  <c r="J81" i="2"/>
  <c r="J82" i="2"/>
  <c r="J83" i="2"/>
  <c r="J84" i="2"/>
  <c r="J85" i="2"/>
  <c r="J86" i="2"/>
  <c r="J87" i="2"/>
  <c r="J88" i="2"/>
  <c r="J89" i="2"/>
  <c r="J90" i="2"/>
  <c r="J91" i="2"/>
  <c r="J92" i="2"/>
  <c r="J93" i="2"/>
  <c r="J94" i="2"/>
  <c r="J95" i="2"/>
  <c r="J96" i="2"/>
  <c r="J97" i="2"/>
  <c r="J98" i="2"/>
  <c r="J99" i="2"/>
  <c r="J100" i="2"/>
  <c r="J101" i="2"/>
  <c r="J102" i="2"/>
  <c r="J103" i="2"/>
  <c r="J104" i="2"/>
  <c r="J105" i="2"/>
  <c r="J106" i="2"/>
  <c r="J107" i="2"/>
  <c r="J108" i="2"/>
  <c r="J109" i="2"/>
  <c r="J110" i="2"/>
  <c r="J111" i="2"/>
  <c r="J112" i="2"/>
  <c r="J113" i="2"/>
  <c r="J114" i="2"/>
  <c r="J115" i="2"/>
  <c r="J116" i="2"/>
  <c r="J117" i="2"/>
  <c r="J118" i="2"/>
  <c r="J119" i="2"/>
  <c r="J120" i="2"/>
  <c r="J121" i="2"/>
  <c r="J122" i="2"/>
  <c r="J123" i="2"/>
  <c r="J124" i="2"/>
  <c r="J125" i="2"/>
  <c r="J126" i="2"/>
  <c r="J127" i="2"/>
  <c r="J128" i="2"/>
  <c r="J129" i="2"/>
  <c r="J130" i="2"/>
  <c r="J131" i="2"/>
  <c r="J132" i="2"/>
  <c r="J133" i="2"/>
  <c r="J134" i="2"/>
  <c r="J135" i="2"/>
  <c r="J136" i="2"/>
  <c r="J137" i="2"/>
  <c r="J138" i="2"/>
  <c r="J139" i="2"/>
  <c r="J140" i="2"/>
  <c r="J141" i="2"/>
  <c r="J142" i="2"/>
  <c r="J143" i="2"/>
  <c r="J144" i="2"/>
  <c r="J145" i="2"/>
  <c r="J146" i="2"/>
  <c r="J147" i="2"/>
  <c r="J148" i="2"/>
  <c r="J149" i="2"/>
  <c r="J150" i="2"/>
  <c r="J151" i="2"/>
  <c r="J152" i="2"/>
  <c r="J153" i="2"/>
  <c r="J154" i="2"/>
  <c r="J155" i="2"/>
  <c r="J156" i="2"/>
  <c r="J157" i="2"/>
  <c r="J158" i="2"/>
  <c r="J159" i="2"/>
  <c r="J160" i="2"/>
  <c r="J161" i="2"/>
  <c r="J162" i="2"/>
  <c r="J163" i="2"/>
  <c r="J164" i="2"/>
  <c r="J165" i="2"/>
  <c r="J166" i="2"/>
  <c r="J167" i="2"/>
  <c r="J168" i="2"/>
  <c r="J169" i="2"/>
  <c r="J170" i="2"/>
  <c r="J171" i="2"/>
  <c r="J172" i="2"/>
  <c r="J173" i="2"/>
  <c r="J174" i="2"/>
  <c r="J175" i="2"/>
  <c r="J176" i="2"/>
  <c r="J177" i="2"/>
  <c r="J178" i="2"/>
  <c r="J179" i="2"/>
  <c r="J180" i="2"/>
  <c r="J181" i="2"/>
  <c r="J182" i="2"/>
  <c r="J183" i="2"/>
  <c r="J184" i="2"/>
  <c r="J185" i="2"/>
  <c r="J186" i="2"/>
  <c r="J187" i="2"/>
  <c r="J188" i="2"/>
  <c r="J189" i="2"/>
  <c r="J190" i="2"/>
  <c r="J191" i="2"/>
  <c r="J192" i="2"/>
  <c r="J193" i="2"/>
  <c r="J194" i="2"/>
  <c r="J195" i="2"/>
  <c r="J196" i="2"/>
  <c r="J197" i="2"/>
  <c r="J198" i="2"/>
  <c r="J199" i="2"/>
  <c r="J200" i="2"/>
  <c r="J201" i="2"/>
  <c r="J2" i="2"/>
  <c r="O11" i="2"/>
  <c r="O10" i="2"/>
  <c r="O9" i="2"/>
  <c r="O8" i="2"/>
  <c r="O7" i="2"/>
  <c r="I3" i="2"/>
  <c r="I4" i="2"/>
  <c r="I5" i="2"/>
  <c r="I6" i="2"/>
  <c r="I7" i="2"/>
  <c r="I8" i="2"/>
  <c r="I9" i="2"/>
  <c r="I10" i="2"/>
  <c r="I11" i="2"/>
  <c r="I12" i="2"/>
  <c r="I13" i="2"/>
  <c r="I14" i="2"/>
  <c r="I15" i="2"/>
  <c r="I16" i="2"/>
  <c r="I17" i="2"/>
  <c r="I18" i="2"/>
  <c r="I19" i="2"/>
  <c r="I20" i="2"/>
  <c r="I21" i="2"/>
  <c r="I22" i="2"/>
  <c r="I23" i="2"/>
  <c r="I24" i="2"/>
  <c r="I25" i="2"/>
  <c r="I26" i="2"/>
  <c r="I27" i="2"/>
  <c r="I28" i="2"/>
  <c r="I29" i="2"/>
  <c r="I30" i="2"/>
  <c r="I31" i="2"/>
  <c r="I32" i="2"/>
  <c r="I33" i="2"/>
  <c r="I34" i="2"/>
  <c r="I35" i="2"/>
  <c r="I36" i="2"/>
  <c r="I37" i="2"/>
  <c r="I38" i="2"/>
  <c r="I39" i="2"/>
  <c r="I40" i="2"/>
  <c r="I41" i="2"/>
  <c r="I42" i="2"/>
  <c r="I43" i="2"/>
  <c r="I44" i="2"/>
  <c r="I45" i="2"/>
  <c r="I46" i="2"/>
  <c r="I47" i="2"/>
  <c r="I48" i="2"/>
  <c r="I49" i="2"/>
  <c r="I50" i="2"/>
  <c r="I51" i="2"/>
  <c r="I52" i="2"/>
  <c r="I53" i="2"/>
  <c r="I54" i="2"/>
  <c r="I55" i="2"/>
  <c r="I56" i="2"/>
  <c r="I57" i="2"/>
  <c r="I58" i="2"/>
  <c r="I59" i="2"/>
  <c r="I60" i="2"/>
  <c r="I61" i="2"/>
  <c r="I62" i="2"/>
  <c r="I63" i="2"/>
  <c r="I64" i="2"/>
  <c r="I65" i="2"/>
  <c r="I66" i="2"/>
  <c r="I67" i="2"/>
  <c r="I68" i="2"/>
  <c r="I69" i="2"/>
  <c r="I70" i="2"/>
  <c r="I71" i="2"/>
  <c r="I72" i="2"/>
  <c r="I73" i="2"/>
  <c r="I74" i="2"/>
  <c r="I75" i="2"/>
  <c r="I76" i="2"/>
  <c r="I77" i="2"/>
  <c r="I78" i="2"/>
  <c r="I79" i="2"/>
  <c r="I80" i="2"/>
  <c r="I81" i="2"/>
  <c r="I82" i="2"/>
  <c r="I83" i="2"/>
  <c r="I84" i="2"/>
  <c r="I85" i="2"/>
  <c r="I86" i="2"/>
  <c r="I87" i="2"/>
  <c r="I88" i="2"/>
  <c r="I89" i="2"/>
  <c r="I90" i="2"/>
  <c r="I91" i="2"/>
  <c r="I92" i="2"/>
  <c r="I93" i="2"/>
  <c r="I94" i="2"/>
  <c r="I95" i="2"/>
  <c r="I96" i="2"/>
  <c r="I97" i="2"/>
  <c r="I98" i="2"/>
  <c r="I99" i="2"/>
  <c r="I100" i="2"/>
  <c r="I101" i="2"/>
  <c r="I102" i="2"/>
  <c r="I103" i="2"/>
  <c r="I104" i="2"/>
  <c r="I105" i="2"/>
  <c r="I106" i="2"/>
  <c r="I107" i="2"/>
  <c r="I108" i="2"/>
  <c r="I109" i="2"/>
  <c r="I110" i="2"/>
  <c r="I111" i="2"/>
  <c r="I112" i="2"/>
  <c r="I113" i="2"/>
  <c r="I114" i="2"/>
  <c r="I115" i="2"/>
  <c r="I116" i="2"/>
  <c r="I117" i="2"/>
  <c r="I118" i="2"/>
  <c r="I119" i="2"/>
  <c r="I120" i="2"/>
  <c r="I121" i="2"/>
  <c r="I122" i="2"/>
  <c r="I123" i="2"/>
  <c r="I124" i="2"/>
  <c r="I125" i="2"/>
  <c r="I126" i="2"/>
  <c r="I127" i="2"/>
  <c r="I128" i="2"/>
  <c r="I129" i="2"/>
  <c r="I130" i="2"/>
  <c r="I131" i="2"/>
  <c r="I132" i="2"/>
  <c r="I133" i="2"/>
  <c r="I134" i="2"/>
  <c r="I135" i="2"/>
  <c r="I136" i="2"/>
  <c r="I137" i="2"/>
  <c r="I138" i="2"/>
  <c r="I139" i="2"/>
  <c r="I140" i="2"/>
  <c r="I141" i="2"/>
  <c r="I142" i="2"/>
  <c r="I143" i="2"/>
  <c r="I144" i="2"/>
  <c r="I145" i="2"/>
  <c r="I146" i="2"/>
  <c r="I147" i="2"/>
  <c r="I148" i="2"/>
  <c r="I149" i="2"/>
  <c r="I150" i="2"/>
  <c r="I151" i="2"/>
  <c r="I152" i="2"/>
  <c r="I153" i="2"/>
  <c r="I154" i="2"/>
  <c r="I155" i="2"/>
  <c r="I156" i="2"/>
  <c r="I157" i="2"/>
  <c r="I158" i="2"/>
  <c r="I159" i="2"/>
  <c r="I160" i="2"/>
  <c r="I161" i="2"/>
  <c r="I162" i="2"/>
  <c r="I163" i="2"/>
  <c r="I164" i="2"/>
  <c r="I165" i="2"/>
  <c r="I166" i="2"/>
  <c r="I167" i="2"/>
  <c r="I168" i="2"/>
  <c r="I169" i="2"/>
  <c r="I170" i="2"/>
  <c r="I171" i="2"/>
  <c r="I172" i="2"/>
  <c r="I173" i="2"/>
  <c r="I174" i="2"/>
  <c r="I175" i="2"/>
  <c r="I176" i="2"/>
  <c r="I177" i="2"/>
  <c r="I178" i="2"/>
  <c r="I179" i="2"/>
  <c r="I180" i="2"/>
  <c r="I181" i="2"/>
  <c r="I182" i="2"/>
  <c r="I183" i="2"/>
  <c r="I184" i="2"/>
  <c r="I185" i="2"/>
  <c r="I186" i="2"/>
  <c r="I187" i="2"/>
  <c r="I188" i="2"/>
  <c r="I189" i="2"/>
  <c r="I190" i="2"/>
  <c r="I191" i="2"/>
  <c r="I192" i="2"/>
  <c r="I193" i="2"/>
  <c r="I194" i="2"/>
  <c r="I195" i="2"/>
  <c r="I196" i="2"/>
  <c r="I197" i="2"/>
  <c r="I198" i="2"/>
  <c r="I199" i="2"/>
  <c r="I200" i="2"/>
  <c r="I201" i="2"/>
  <c r="I2" i="2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<sst xmlns="http://schemas.openxmlformats.org/spreadsheetml/2006/main" count="1234" uniqueCount="54">
  <si>
    <t>Emp_ID</t>
  </si>
  <si>
    <t>Name</t>
  </si>
  <si>
    <t>Department</t>
  </si>
  <si>
    <t>Region</t>
  </si>
  <si>
    <t>Salary</t>
  </si>
  <si>
    <t>Bonus</t>
  </si>
  <si>
    <t>Experience_Years</t>
  </si>
  <si>
    <t>John</t>
  </si>
  <si>
    <t>IT</t>
  </si>
  <si>
    <t>South</t>
  </si>
  <si>
    <t>Meena</t>
  </si>
  <si>
    <t>Finance</t>
  </si>
  <si>
    <t>West</t>
  </si>
  <si>
    <t>Teja</t>
  </si>
  <si>
    <t>HR</t>
  </si>
  <si>
    <t>East</t>
  </si>
  <si>
    <t>Farhan</t>
  </si>
  <si>
    <t>Kiran</t>
  </si>
  <si>
    <t>Nikhil</t>
  </si>
  <si>
    <t>Sales</t>
  </si>
  <si>
    <t>Giri</t>
  </si>
  <si>
    <t>North</t>
  </si>
  <si>
    <t>Latha</t>
  </si>
  <si>
    <t>Varun</t>
  </si>
  <si>
    <t>Bala</t>
  </si>
  <si>
    <t>Sara</t>
  </si>
  <si>
    <t>Charan</t>
  </si>
  <si>
    <t>Hema</t>
  </si>
  <si>
    <t>Ravi</t>
  </si>
  <si>
    <t>Esha</t>
  </si>
  <si>
    <t>Irfan</t>
  </si>
  <si>
    <t>Om</t>
  </si>
  <si>
    <t>Pooja</t>
  </si>
  <si>
    <t>David</t>
  </si>
  <si>
    <t>Arun</t>
  </si>
  <si>
    <t>Toal_pay</t>
  </si>
  <si>
    <t>Highest Salary</t>
  </si>
  <si>
    <t>Lowest Salary</t>
  </si>
  <si>
    <t>Total_salart</t>
  </si>
  <si>
    <t>Total _employees</t>
  </si>
  <si>
    <t>Averagae_salary</t>
  </si>
  <si>
    <t>FUNCTION</t>
  </si>
  <si>
    <t>TASK</t>
  </si>
  <si>
    <t>RESULT</t>
  </si>
  <si>
    <t>MAX()</t>
  </si>
  <si>
    <t>MIN()</t>
  </si>
  <si>
    <t>SUM()</t>
  </si>
  <si>
    <t>COUNT()</t>
  </si>
  <si>
    <t>AVERAGE()</t>
  </si>
  <si>
    <t>"Salary_level "IF()</t>
  </si>
  <si>
    <t>Total_employees</t>
  </si>
  <si>
    <t>New_bonus</t>
  </si>
  <si>
    <t>COUNTIF()</t>
  </si>
  <si>
    <t>Added columns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</si>
</sst>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6" formatCode="_ &quot;₹&quot;\ * #,##0_ ;_ &quot;₹&quot;\ * \-#,##0_ ;_ &quot;₹&quot;\ * &quot;-&quot;??_ ;_ @_ "/>
  </numFmts>
  <fonts count="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4"/>
      <color theme="1"/>
      <name val="Calibri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theme="4" tint="0.59999389629810485"/>
        <bgColor indexed="6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9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6">
    <xf numFmtId="0" fontId="0" fillId="0" borderId="0"/>
    <xf numFmtId="0" fontId="1" fillId="2" borderId="0" applyNumberFormat="0" applyBorder="0" applyAlignment="0" applyProtection="0"/>
    <xf numFmtId="0" fontId="1" fillId="3" borderId="0" applyNumberFormat="0" applyBorder="0" applyAlignment="0" applyProtection="0"/>
    <xf numFmtId="0" fontId="1" fillId="4" borderId="0" applyNumberFormat="0" applyBorder="0" applyAlignment="0" applyProtection="0"/>
    <xf numFmtId="0" fontId="1" fillId="5" borderId="0" applyNumberFormat="0" applyBorder="0" applyAlignment="0" applyProtection="0"/>
    <xf numFmtId="0" fontId="4" fillId="6" borderId="0" applyNumberFormat="0" applyBorder="0" applyAlignment="0" applyProtection="0"/>
  </cellStyleXfs>
  <cellXfs count="31">
    <xf numFmtId="0" fontId="0" fillId="0" borderId="0" xfId="0"/>
    <xf numFmtId="0" fontId="0" fillId="7" borderId="0" xfId="0" applyFill="1"/>
    <xf numFmtId="0" fontId="0" fillId="0" borderId="1" xfId="0" applyBorder="1"/>
    <xf numFmtId="0" fontId="0" fillId="7" borderId="1" xfId="0" applyFill="1" applyBorder="1"/>
    <xf numFmtId="0" fontId="1" fillId="3" borderId="1" xfId="2" applyBorder="1"/>
    <xf numFmtId="166" fontId="1" fillId="3" borderId="1" xfId="2" applyNumberFormat="1" applyBorder="1"/>
    <xf numFmtId="166" fontId="0" fillId="0" borderId="1" xfId="0" applyNumberFormat="1" applyBorder="1"/>
    <xf numFmtId="166" fontId="0" fillId="0" borderId="0" xfId="0" applyNumberFormat="1"/>
    <xf numFmtId="0" fontId="0" fillId="0" borderId="2" xfId="0" applyBorder="1"/>
    <xf numFmtId="166" fontId="0" fillId="0" borderId="2" xfId="0" applyNumberFormat="1" applyBorder="1"/>
    <xf numFmtId="0" fontId="3" fillId="8" borderId="0" xfId="1" applyFont="1" applyFill="1" applyBorder="1"/>
    <xf numFmtId="166" fontId="0" fillId="8" borderId="0" xfId="0" applyNumberFormat="1" applyFill="1" applyBorder="1"/>
    <xf numFmtId="0" fontId="0" fillId="8" borderId="0" xfId="0" applyFill="1" applyBorder="1"/>
    <xf numFmtId="166" fontId="0" fillId="0" borderId="0" xfId="0" applyNumberFormat="1" applyBorder="1"/>
    <xf numFmtId="0" fontId="0" fillId="0" borderId="3" xfId="0" applyBorder="1"/>
    <xf numFmtId="0" fontId="0" fillId="0" borderId="4" xfId="0" applyBorder="1"/>
    <xf numFmtId="0" fontId="5" fillId="2" borderId="1" xfId="1" applyFont="1" applyBorder="1"/>
    <xf numFmtId="166" fontId="6" fillId="9" borderId="1" xfId="0" applyNumberFormat="1" applyFont="1" applyFill="1" applyBorder="1"/>
    <xf numFmtId="1" fontId="6" fillId="9" borderId="1" xfId="0" applyNumberFormat="1" applyFont="1" applyFill="1" applyBorder="1"/>
    <xf numFmtId="0" fontId="5" fillId="2" borderId="6" xfId="1" applyFont="1" applyBorder="1"/>
    <xf numFmtId="166" fontId="6" fillId="9" borderId="6" xfId="0" applyNumberFormat="1" applyFont="1" applyFill="1" applyBorder="1"/>
    <xf numFmtId="0" fontId="0" fillId="0" borderId="6" xfId="0" applyBorder="1"/>
    <xf numFmtId="0" fontId="2" fillId="6" borderId="5" xfId="5" applyFont="1" applyBorder="1"/>
    <xf numFmtId="0" fontId="2" fillId="6" borderId="8" xfId="5" applyFont="1" applyBorder="1"/>
    <xf numFmtId="0" fontId="1" fillId="7" borderId="3" xfId="2" applyFill="1" applyBorder="1"/>
    <xf numFmtId="0" fontId="1" fillId="7" borderId="1" xfId="2" applyFill="1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1" xfId="0" applyBorder="1" applyAlignment="1">
      <alignment horizontal="left"/>
    </xf>
    <xf numFmtId="0" fontId="1" fillId="4" borderId="6" xfId="3" applyBorder="1" applyAlignment="1">
      <alignment horizontal="left"/>
    </xf>
    <xf numFmtId="0" fontId="1" fillId="5" borderId="7" xfId="4" applyBorder="1" applyAlignment="1">
      <alignment horizontal="center"/>
    </xf>
    <xf numFmtId="0" fontId="1" fillId="5" borderId="8" xfId="4" applyBorder="1" applyAlignment="1">
      <alignment horizontal="center"/>
    </xf>
  </cellXfs>
  <cellStyles count="6">
    <cellStyle name="20% - Accent2" xfId="2" builtinId="34"/>
    <cellStyle name="20% - Accent5" xfId="4" builtinId="46"/>
    <cellStyle name="40% - Accent1" xfId="1" builtinId="31"/>
    <cellStyle name="40% - Accent3" xfId="3" builtinId="39"/>
    <cellStyle name="Accent6" xfId="5" builtinId="49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201"/>
  <sheetViews>
    <sheetView workbookViewId="0">
      <selection activeCell="I1" sqref="I1"/>
    </sheetView>
  </sheetViews>
  <sheetFormatPr defaultRowHeight="14.4" x14ac:dyDescent="0.3"/>
  <sheetData>
    <row r="1" spans="1:7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3">
      <c r="A2">
        <v>1001</v>
      </c>
      <c r="B2" t="s">
        <v>7</v>
      </c>
      <c r="C2" t="s">
        <v>8</v>
      </c>
      <c r="D2" t="s">
        <v>9</v>
      </c>
      <c r="E2">
        <v>50226</v>
      </c>
      <c r="F2">
        <v>5581</v>
      </c>
      <c r="G2">
        <v>4</v>
      </c>
    </row>
    <row r="3" spans="1:7" x14ac:dyDescent="0.3">
      <c r="A3">
        <v>1002</v>
      </c>
      <c r="B3" t="s">
        <v>10</v>
      </c>
      <c r="C3" t="s">
        <v>11</v>
      </c>
      <c r="D3" t="s">
        <v>12</v>
      </c>
      <c r="E3">
        <v>20625</v>
      </c>
      <c r="F3">
        <v>6504</v>
      </c>
      <c r="G3">
        <v>8</v>
      </c>
    </row>
    <row r="4" spans="1:7" x14ac:dyDescent="0.3">
      <c r="A4">
        <v>1003</v>
      </c>
      <c r="B4" t="s">
        <v>13</v>
      </c>
      <c r="C4" t="s">
        <v>14</v>
      </c>
      <c r="D4" t="s">
        <v>15</v>
      </c>
      <c r="E4">
        <v>54226</v>
      </c>
      <c r="F4">
        <v>8405</v>
      </c>
      <c r="G4">
        <v>1</v>
      </c>
    </row>
    <row r="5" spans="1:7" x14ac:dyDescent="0.3">
      <c r="A5">
        <v>1004</v>
      </c>
      <c r="B5" t="s">
        <v>16</v>
      </c>
      <c r="C5" t="s">
        <v>14</v>
      </c>
      <c r="D5" t="s">
        <v>12</v>
      </c>
      <c r="E5">
        <v>20937</v>
      </c>
      <c r="F5">
        <v>9217</v>
      </c>
      <c r="G5">
        <v>3</v>
      </c>
    </row>
    <row r="6" spans="1:7" x14ac:dyDescent="0.3">
      <c r="A6">
        <v>1005</v>
      </c>
      <c r="B6" t="s">
        <v>17</v>
      </c>
      <c r="C6" t="s">
        <v>8</v>
      </c>
      <c r="D6" t="s">
        <v>9</v>
      </c>
      <c r="E6">
        <v>76227</v>
      </c>
      <c r="F6">
        <v>7057</v>
      </c>
      <c r="G6">
        <v>5</v>
      </c>
    </row>
    <row r="7" spans="1:7" x14ac:dyDescent="0.3">
      <c r="A7">
        <v>1006</v>
      </c>
      <c r="B7" t="s">
        <v>18</v>
      </c>
      <c r="C7" t="s">
        <v>11</v>
      </c>
      <c r="D7" t="s">
        <v>12</v>
      </c>
      <c r="E7">
        <v>67297</v>
      </c>
      <c r="F7">
        <v>8259</v>
      </c>
      <c r="G7">
        <v>8</v>
      </c>
    </row>
    <row r="8" spans="1:7" x14ac:dyDescent="0.3">
      <c r="A8">
        <v>1007</v>
      </c>
      <c r="B8" t="s">
        <v>16</v>
      </c>
      <c r="C8" t="s">
        <v>19</v>
      </c>
      <c r="D8" t="s">
        <v>15</v>
      </c>
      <c r="E8">
        <v>29660</v>
      </c>
      <c r="F8">
        <v>2245</v>
      </c>
      <c r="G8">
        <v>9</v>
      </c>
    </row>
    <row r="9" spans="1:7" x14ac:dyDescent="0.3">
      <c r="A9">
        <v>1008</v>
      </c>
      <c r="B9" t="s">
        <v>20</v>
      </c>
      <c r="C9" t="s">
        <v>14</v>
      </c>
      <c r="D9" t="s">
        <v>21</v>
      </c>
      <c r="E9">
        <v>44193</v>
      </c>
      <c r="F9">
        <v>3612</v>
      </c>
      <c r="G9">
        <v>8</v>
      </c>
    </row>
    <row r="10" spans="1:7" x14ac:dyDescent="0.3">
      <c r="A10">
        <v>1009</v>
      </c>
      <c r="B10" t="s">
        <v>7</v>
      </c>
      <c r="C10" t="s">
        <v>19</v>
      </c>
      <c r="D10" t="s">
        <v>15</v>
      </c>
      <c r="E10">
        <v>58552</v>
      </c>
      <c r="F10">
        <v>7262</v>
      </c>
      <c r="G10">
        <v>5</v>
      </c>
    </row>
    <row r="11" spans="1:7" x14ac:dyDescent="0.3">
      <c r="A11">
        <v>1010</v>
      </c>
      <c r="B11" t="s">
        <v>22</v>
      </c>
      <c r="C11" t="s">
        <v>19</v>
      </c>
      <c r="D11" t="s">
        <v>15</v>
      </c>
      <c r="E11">
        <v>67997</v>
      </c>
      <c r="F11">
        <v>1164</v>
      </c>
      <c r="G11">
        <v>4</v>
      </c>
    </row>
    <row r="12" spans="1:7" x14ac:dyDescent="0.3">
      <c r="A12">
        <v>1011</v>
      </c>
      <c r="B12" t="s">
        <v>22</v>
      </c>
      <c r="C12" t="s">
        <v>8</v>
      </c>
      <c r="D12" t="s">
        <v>21</v>
      </c>
      <c r="E12">
        <v>26573</v>
      </c>
      <c r="F12">
        <v>5768</v>
      </c>
      <c r="G12">
        <v>4</v>
      </c>
    </row>
    <row r="13" spans="1:7" x14ac:dyDescent="0.3">
      <c r="A13">
        <v>1012</v>
      </c>
      <c r="B13" t="s">
        <v>23</v>
      </c>
      <c r="C13" t="s">
        <v>8</v>
      </c>
      <c r="D13" t="s">
        <v>15</v>
      </c>
      <c r="E13">
        <v>70449</v>
      </c>
      <c r="F13">
        <v>8386</v>
      </c>
      <c r="G13">
        <v>8</v>
      </c>
    </row>
    <row r="14" spans="1:7" x14ac:dyDescent="0.3">
      <c r="A14">
        <v>1013</v>
      </c>
      <c r="B14" t="s">
        <v>24</v>
      </c>
      <c r="C14" t="s">
        <v>11</v>
      </c>
      <c r="D14" t="s">
        <v>15</v>
      </c>
      <c r="E14">
        <v>76305</v>
      </c>
      <c r="F14">
        <v>4910</v>
      </c>
      <c r="G14">
        <v>1</v>
      </c>
    </row>
    <row r="15" spans="1:7" x14ac:dyDescent="0.3">
      <c r="A15">
        <v>1014</v>
      </c>
      <c r="B15" t="s">
        <v>25</v>
      </c>
      <c r="C15" t="s">
        <v>8</v>
      </c>
      <c r="D15" t="s">
        <v>12</v>
      </c>
      <c r="E15">
        <v>75837</v>
      </c>
      <c r="F15">
        <v>3707</v>
      </c>
      <c r="G15">
        <v>4</v>
      </c>
    </row>
    <row r="16" spans="1:7" x14ac:dyDescent="0.3">
      <c r="A16">
        <v>1015</v>
      </c>
      <c r="B16" t="s">
        <v>26</v>
      </c>
      <c r="C16" t="s">
        <v>8</v>
      </c>
      <c r="D16" t="s">
        <v>15</v>
      </c>
      <c r="E16">
        <v>37399</v>
      </c>
      <c r="F16">
        <v>7673</v>
      </c>
      <c r="G16">
        <v>8</v>
      </c>
    </row>
    <row r="17" spans="1:7" x14ac:dyDescent="0.3">
      <c r="A17">
        <v>1016</v>
      </c>
      <c r="B17" t="s">
        <v>27</v>
      </c>
      <c r="C17" t="s">
        <v>19</v>
      </c>
      <c r="D17" t="s">
        <v>15</v>
      </c>
      <c r="E17">
        <v>36079</v>
      </c>
      <c r="F17">
        <v>1227</v>
      </c>
      <c r="G17">
        <v>9</v>
      </c>
    </row>
    <row r="18" spans="1:7" x14ac:dyDescent="0.3">
      <c r="A18">
        <v>1017</v>
      </c>
      <c r="B18" t="s">
        <v>22</v>
      </c>
      <c r="C18" t="s">
        <v>11</v>
      </c>
      <c r="D18" t="s">
        <v>21</v>
      </c>
      <c r="E18">
        <v>56682</v>
      </c>
      <c r="F18">
        <v>1665</v>
      </c>
      <c r="G18">
        <v>1</v>
      </c>
    </row>
    <row r="19" spans="1:7" x14ac:dyDescent="0.3">
      <c r="A19">
        <v>1018</v>
      </c>
      <c r="B19" t="s">
        <v>23</v>
      </c>
      <c r="C19" t="s">
        <v>11</v>
      </c>
      <c r="D19" t="s">
        <v>12</v>
      </c>
      <c r="E19">
        <v>74829</v>
      </c>
      <c r="F19">
        <v>9249</v>
      </c>
      <c r="G19">
        <v>9</v>
      </c>
    </row>
    <row r="20" spans="1:7" x14ac:dyDescent="0.3">
      <c r="A20">
        <v>1019</v>
      </c>
      <c r="B20" t="s">
        <v>10</v>
      </c>
      <c r="C20" t="s">
        <v>11</v>
      </c>
      <c r="D20" t="s">
        <v>9</v>
      </c>
      <c r="E20">
        <v>37095</v>
      </c>
      <c r="F20">
        <v>4694</v>
      </c>
      <c r="G20">
        <v>9</v>
      </c>
    </row>
    <row r="21" spans="1:7" x14ac:dyDescent="0.3">
      <c r="A21">
        <v>1020</v>
      </c>
      <c r="B21" t="s">
        <v>13</v>
      </c>
      <c r="C21" t="s">
        <v>14</v>
      </c>
      <c r="D21" t="s">
        <v>15</v>
      </c>
      <c r="E21">
        <v>57259</v>
      </c>
      <c r="F21">
        <v>4414</v>
      </c>
      <c r="G21">
        <v>1</v>
      </c>
    </row>
    <row r="22" spans="1:7" x14ac:dyDescent="0.3">
      <c r="A22">
        <v>1021</v>
      </c>
      <c r="B22" t="s">
        <v>23</v>
      </c>
      <c r="C22" t="s">
        <v>19</v>
      </c>
      <c r="D22" t="s">
        <v>15</v>
      </c>
      <c r="E22">
        <v>72209</v>
      </c>
      <c r="F22">
        <v>4448</v>
      </c>
      <c r="G22">
        <v>9</v>
      </c>
    </row>
    <row r="23" spans="1:7" x14ac:dyDescent="0.3">
      <c r="A23">
        <v>1022</v>
      </c>
      <c r="B23" t="s">
        <v>16</v>
      </c>
      <c r="C23" t="s">
        <v>19</v>
      </c>
      <c r="D23" t="s">
        <v>15</v>
      </c>
      <c r="E23">
        <v>38806</v>
      </c>
      <c r="F23">
        <v>9151</v>
      </c>
      <c r="G23">
        <v>9</v>
      </c>
    </row>
    <row r="24" spans="1:7" x14ac:dyDescent="0.3">
      <c r="A24">
        <v>1023</v>
      </c>
      <c r="B24" t="s">
        <v>20</v>
      </c>
      <c r="C24" t="s">
        <v>8</v>
      </c>
      <c r="D24" t="s">
        <v>15</v>
      </c>
      <c r="E24">
        <v>54451</v>
      </c>
      <c r="F24">
        <v>8106</v>
      </c>
      <c r="G24">
        <v>4</v>
      </c>
    </row>
    <row r="25" spans="1:7" x14ac:dyDescent="0.3">
      <c r="A25">
        <v>1024</v>
      </c>
      <c r="B25" t="s">
        <v>7</v>
      </c>
      <c r="C25" t="s">
        <v>8</v>
      </c>
      <c r="D25" t="s">
        <v>9</v>
      </c>
      <c r="E25">
        <v>20303</v>
      </c>
      <c r="F25">
        <v>6264</v>
      </c>
      <c r="G25">
        <v>4</v>
      </c>
    </row>
    <row r="26" spans="1:7" x14ac:dyDescent="0.3">
      <c r="A26">
        <v>1025</v>
      </c>
      <c r="B26" t="s">
        <v>27</v>
      </c>
      <c r="C26" t="s">
        <v>19</v>
      </c>
      <c r="D26" t="s">
        <v>9</v>
      </c>
      <c r="E26">
        <v>79600</v>
      </c>
      <c r="F26">
        <v>4813</v>
      </c>
      <c r="G26">
        <v>7</v>
      </c>
    </row>
    <row r="27" spans="1:7" x14ac:dyDescent="0.3">
      <c r="A27">
        <v>1026</v>
      </c>
      <c r="B27" t="s">
        <v>20</v>
      </c>
      <c r="C27" t="s">
        <v>19</v>
      </c>
      <c r="D27" t="s">
        <v>12</v>
      </c>
      <c r="E27">
        <v>75805</v>
      </c>
      <c r="F27">
        <v>6871</v>
      </c>
      <c r="G27">
        <v>8</v>
      </c>
    </row>
    <row r="28" spans="1:7" x14ac:dyDescent="0.3">
      <c r="A28">
        <v>1027</v>
      </c>
      <c r="B28" t="s">
        <v>18</v>
      </c>
      <c r="C28" t="s">
        <v>14</v>
      </c>
      <c r="D28" t="s">
        <v>9</v>
      </c>
      <c r="E28">
        <v>22801</v>
      </c>
      <c r="F28">
        <v>1462</v>
      </c>
      <c r="G28">
        <v>10</v>
      </c>
    </row>
    <row r="29" spans="1:7" x14ac:dyDescent="0.3">
      <c r="A29">
        <v>1028</v>
      </c>
      <c r="B29" t="s">
        <v>28</v>
      </c>
      <c r="C29" t="s">
        <v>19</v>
      </c>
      <c r="D29" t="s">
        <v>21</v>
      </c>
      <c r="E29">
        <v>54435</v>
      </c>
      <c r="F29">
        <v>5063</v>
      </c>
      <c r="G29">
        <v>6</v>
      </c>
    </row>
    <row r="30" spans="1:7" x14ac:dyDescent="0.3">
      <c r="A30">
        <v>1029</v>
      </c>
      <c r="B30" t="s">
        <v>29</v>
      </c>
      <c r="C30" t="s">
        <v>11</v>
      </c>
      <c r="D30" t="s">
        <v>21</v>
      </c>
      <c r="E30">
        <v>77655</v>
      </c>
      <c r="F30">
        <v>3552</v>
      </c>
      <c r="G30">
        <v>7</v>
      </c>
    </row>
    <row r="31" spans="1:7" x14ac:dyDescent="0.3">
      <c r="A31">
        <v>1030</v>
      </c>
      <c r="B31" t="s">
        <v>26</v>
      </c>
      <c r="C31" t="s">
        <v>19</v>
      </c>
      <c r="D31" t="s">
        <v>21</v>
      </c>
      <c r="E31">
        <v>61880</v>
      </c>
      <c r="F31">
        <v>1131</v>
      </c>
      <c r="G31">
        <v>8</v>
      </c>
    </row>
    <row r="32" spans="1:7" x14ac:dyDescent="0.3">
      <c r="A32">
        <v>1031</v>
      </c>
      <c r="B32" t="s">
        <v>28</v>
      </c>
      <c r="C32" t="s">
        <v>19</v>
      </c>
      <c r="D32" t="s">
        <v>21</v>
      </c>
      <c r="E32">
        <v>61681</v>
      </c>
      <c r="F32">
        <v>2759</v>
      </c>
      <c r="G32">
        <v>4</v>
      </c>
    </row>
    <row r="33" spans="1:7" x14ac:dyDescent="0.3">
      <c r="A33">
        <v>1032</v>
      </c>
      <c r="B33" t="s">
        <v>27</v>
      </c>
      <c r="C33" t="s">
        <v>19</v>
      </c>
      <c r="D33" t="s">
        <v>9</v>
      </c>
      <c r="E33">
        <v>65308</v>
      </c>
      <c r="F33">
        <v>4849</v>
      </c>
      <c r="G33">
        <v>10</v>
      </c>
    </row>
    <row r="34" spans="1:7" x14ac:dyDescent="0.3">
      <c r="A34">
        <v>1033</v>
      </c>
      <c r="B34" t="s">
        <v>23</v>
      </c>
      <c r="C34" t="s">
        <v>19</v>
      </c>
      <c r="D34" t="s">
        <v>21</v>
      </c>
      <c r="E34">
        <v>73630</v>
      </c>
      <c r="F34">
        <v>2677</v>
      </c>
      <c r="G34">
        <v>7</v>
      </c>
    </row>
    <row r="35" spans="1:7" x14ac:dyDescent="0.3">
      <c r="A35">
        <v>1034</v>
      </c>
      <c r="B35" t="s">
        <v>27</v>
      </c>
      <c r="C35" t="s">
        <v>14</v>
      </c>
      <c r="D35" t="s">
        <v>15</v>
      </c>
      <c r="E35">
        <v>72125</v>
      </c>
      <c r="F35">
        <v>5374</v>
      </c>
      <c r="G35">
        <v>10</v>
      </c>
    </row>
    <row r="36" spans="1:7" x14ac:dyDescent="0.3">
      <c r="A36">
        <v>1035</v>
      </c>
      <c r="B36" t="s">
        <v>16</v>
      </c>
      <c r="C36" t="s">
        <v>19</v>
      </c>
      <c r="D36" t="s">
        <v>9</v>
      </c>
      <c r="E36">
        <v>60544</v>
      </c>
      <c r="F36">
        <v>7787</v>
      </c>
      <c r="G36">
        <v>8</v>
      </c>
    </row>
    <row r="37" spans="1:7" x14ac:dyDescent="0.3">
      <c r="A37">
        <v>1036</v>
      </c>
      <c r="B37" t="s">
        <v>23</v>
      </c>
      <c r="C37" t="s">
        <v>19</v>
      </c>
      <c r="D37" t="s">
        <v>15</v>
      </c>
      <c r="E37">
        <v>59688</v>
      </c>
      <c r="F37">
        <v>3028</v>
      </c>
      <c r="G37">
        <v>10</v>
      </c>
    </row>
    <row r="38" spans="1:7" x14ac:dyDescent="0.3">
      <c r="A38">
        <v>1037</v>
      </c>
      <c r="B38" t="s">
        <v>20</v>
      </c>
      <c r="C38" t="s">
        <v>8</v>
      </c>
      <c r="D38" t="s">
        <v>9</v>
      </c>
      <c r="E38">
        <v>66548</v>
      </c>
      <c r="F38">
        <v>9254</v>
      </c>
      <c r="G38">
        <v>6</v>
      </c>
    </row>
    <row r="39" spans="1:7" x14ac:dyDescent="0.3">
      <c r="A39">
        <v>1038</v>
      </c>
      <c r="B39" t="s">
        <v>25</v>
      </c>
      <c r="C39" t="s">
        <v>11</v>
      </c>
      <c r="D39" t="s">
        <v>21</v>
      </c>
      <c r="E39">
        <v>63661</v>
      </c>
      <c r="F39">
        <v>4084</v>
      </c>
      <c r="G39">
        <v>7</v>
      </c>
    </row>
    <row r="40" spans="1:7" x14ac:dyDescent="0.3">
      <c r="A40">
        <v>1039</v>
      </c>
      <c r="B40" t="s">
        <v>10</v>
      </c>
      <c r="C40" t="s">
        <v>14</v>
      </c>
      <c r="D40" t="s">
        <v>12</v>
      </c>
      <c r="E40">
        <v>22824</v>
      </c>
      <c r="F40">
        <v>1476</v>
      </c>
      <c r="G40">
        <v>1</v>
      </c>
    </row>
    <row r="41" spans="1:7" x14ac:dyDescent="0.3">
      <c r="A41">
        <v>1040</v>
      </c>
      <c r="B41" t="s">
        <v>29</v>
      </c>
      <c r="C41" t="s">
        <v>14</v>
      </c>
      <c r="D41" t="s">
        <v>15</v>
      </c>
      <c r="E41">
        <v>33132</v>
      </c>
      <c r="F41">
        <v>8684</v>
      </c>
      <c r="G41">
        <v>9</v>
      </c>
    </row>
    <row r="42" spans="1:7" x14ac:dyDescent="0.3">
      <c r="A42">
        <v>1041</v>
      </c>
      <c r="B42" t="s">
        <v>10</v>
      </c>
      <c r="C42" t="s">
        <v>8</v>
      </c>
      <c r="D42" t="s">
        <v>15</v>
      </c>
      <c r="E42">
        <v>26847</v>
      </c>
      <c r="F42">
        <v>8491</v>
      </c>
      <c r="G42">
        <v>2</v>
      </c>
    </row>
    <row r="43" spans="1:7" x14ac:dyDescent="0.3">
      <c r="A43">
        <v>1042</v>
      </c>
      <c r="B43" t="s">
        <v>24</v>
      </c>
      <c r="C43" t="s">
        <v>8</v>
      </c>
      <c r="D43" t="s">
        <v>9</v>
      </c>
      <c r="E43">
        <v>28228</v>
      </c>
      <c r="F43">
        <v>2823</v>
      </c>
      <c r="G43">
        <v>2</v>
      </c>
    </row>
    <row r="44" spans="1:7" x14ac:dyDescent="0.3">
      <c r="A44">
        <v>1043</v>
      </c>
      <c r="B44" t="s">
        <v>22</v>
      </c>
      <c r="C44" t="s">
        <v>8</v>
      </c>
      <c r="D44" t="s">
        <v>21</v>
      </c>
      <c r="E44">
        <v>58429</v>
      </c>
      <c r="F44">
        <v>5256</v>
      </c>
      <c r="G44">
        <v>5</v>
      </c>
    </row>
    <row r="45" spans="1:7" x14ac:dyDescent="0.3">
      <c r="A45">
        <v>1044</v>
      </c>
      <c r="B45" t="s">
        <v>13</v>
      </c>
      <c r="C45" t="s">
        <v>19</v>
      </c>
      <c r="D45" t="s">
        <v>12</v>
      </c>
      <c r="E45">
        <v>51774</v>
      </c>
      <c r="F45">
        <v>2774</v>
      </c>
      <c r="G45">
        <v>8</v>
      </c>
    </row>
    <row r="46" spans="1:7" x14ac:dyDescent="0.3">
      <c r="A46">
        <v>1045</v>
      </c>
      <c r="B46" t="s">
        <v>27</v>
      </c>
      <c r="C46" t="s">
        <v>19</v>
      </c>
      <c r="D46" t="s">
        <v>15</v>
      </c>
      <c r="E46">
        <v>52101</v>
      </c>
      <c r="F46">
        <v>4256</v>
      </c>
      <c r="G46">
        <v>9</v>
      </c>
    </row>
    <row r="47" spans="1:7" x14ac:dyDescent="0.3">
      <c r="A47">
        <v>1046</v>
      </c>
      <c r="B47" t="s">
        <v>18</v>
      </c>
      <c r="C47" t="s">
        <v>8</v>
      </c>
      <c r="D47" t="s">
        <v>12</v>
      </c>
      <c r="E47">
        <v>51907</v>
      </c>
      <c r="F47">
        <v>9757</v>
      </c>
      <c r="G47">
        <v>8</v>
      </c>
    </row>
    <row r="48" spans="1:7" x14ac:dyDescent="0.3">
      <c r="A48">
        <v>1047</v>
      </c>
      <c r="B48" t="s">
        <v>30</v>
      </c>
      <c r="C48" t="s">
        <v>8</v>
      </c>
      <c r="D48" t="s">
        <v>15</v>
      </c>
      <c r="E48">
        <v>71323</v>
      </c>
      <c r="F48">
        <v>3679</v>
      </c>
      <c r="G48">
        <v>5</v>
      </c>
    </row>
    <row r="49" spans="1:7" x14ac:dyDescent="0.3">
      <c r="A49">
        <v>1048</v>
      </c>
      <c r="B49" t="s">
        <v>26</v>
      </c>
      <c r="C49" t="s">
        <v>19</v>
      </c>
      <c r="D49" t="s">
        <v>21</v>
      </c>
      <c r="E49">
        <v>27400</v>
      </c>
      <c r="F49">
        <v>8374</v>
      </c>
      <c r="G49">
        <v>1</v>
      </c>
    </row>
    <row r="50" spans="1:7" x14ac:dyDescent="0.3">
      <c r="A50">
        <v>1049</v>
      </c>
      <c r="B50" t="s">
        <v>22</v>
      </c>
      <c r="C50" t="s">
        <v>14</v>
      </c>
      <c r="D50" t="s">
        <v>15</v>
      </c>
      <c r="E50">
        <v>58265</v>
      </c>
      <c r="F50">
        <v>7588</v>
      </c>
      <c r="G50">
        <v>9</v>
      </c>
    </row>
    <row r="51" spans="1:7" x14ac:dyDescent="0.3">
      <c r="A51">
        <v>1050</v>
      </c>
      <c r="B51" t="s">
        <v>31</v>
      </c>
      <c r="C51" t="s">
        <v>8</v>
      </c>
      <c r="D51" t="s">
        <v>15</v>
      </c>
      <c r="E51">
        <v>33269</v>
      </c>
      <c r="F51">
        <v>5636</v>
      </c>
      <c r="G51">
        <v>3</v>
      </c>
    </row>
    <row r="52" spans="1:7" x14ac:dyDescent="0.3">
      <c r="A52">
        <v>1051</v>
      </c>
      <c r="B52" t="s">
        <v>22</v>
      </c>
      <c r="C52" t="s">
        <v>11</v>
      </c>
      <c r="D52" t="s">
        <v>21</v>
      </c>
      <c r="E52">
        <v>21766</v>
      </c>
      <c r="F52">
        <v>3144</v>
      </c>
      <c r="G52">
        <v>4</v>
      </c>
    </row>
    <row r="53" spans="1:7" x14ac:dyDescent="0.3">
      <c r="A53">
        <v>1052</v>
      </c>
      <c r="B53" t="s">
        <v>13</v>
      </c>
      <c r="C53" t="s">
        <v>14</v>
      </c>
      <c r="D53" t="s">
        <v>12</v>
      </c>
      <c r="E53">
        <v>74489</v>
      </c>
      <c r="F53">
        <v>4055</v>
      </c>
      <c r="G53">
        <v>1</v>
      </c>
    </row>
    <row r="54" spans="1:7" x14ac:dyDescent="0.3">
      <c r="A54">
        <v>1053</v>
      </c>
      <c r="B54" t="s">
        <v>30</v>
      </c>
      <c r="C54" t="s">
        <v>19</v>
      </c>
      <c r="D54" t="s">
        <v>21</v>
      </c>
      <c r="E54">
        <v>27248</v>
      </c>
      <c r="F54">
        <v>7369</v>
      </c>
      <c r="G54">
        <v>5</v>
      </c>
    </row>
    <row r="55" spans="1:7" x14ac:dyDescent="0.3">
      <c r="A55">
        <v>1054</v>
      </c>
      <c r="B55" t="s">
        <v>32</v>
      </c>
      <c r="C55" t="s">
        <v>8</v>
      </c>
      <c r="D55" t="s">
        <v>15</v>
      </c>
      <c r="E55">
        <v>70703</v>
      </c>
      <c r="F55">
        <v>5796</v>
      </c>
      <c r="G55">
        <v>8</v>
      </c>
    </row>
    <row r="56" spans="1:7" x14ac:dyDescent="0.3">
      <c r="A56">
        <v>1055</v>
      </c>
      <c r="B56" t="s">
        <v>28</v>
      </c>
      <c r="C56" t="s">
        <v>11</v>
      </c>
      <c r="D56" t="s">
        <v>9</v>
      </c>
      <c r="E56">
        <v>53725</v>
      </c>
      <c r="F56">
        <v>3478</v>
      </c>
      <c r="G56">
        <v>1</v>
      </c>
    </row>
    <row r="57" spans="1:7" x14ac:dyDescent="0.3">
      <c r="A57">
        <v>1056</v>
      </c>
      <c r="B57" t="s">
        <v>18</v>
      </c>
      <c r="C57" t="s">
        <v>19</v>
      </c>
      <c r="D57" t="s">
        <v>15</v>
      </c>
      <c r="E57">
        <v>31273</v>
      </c>
      <c r="F57">
        <v>7614</v>
      </c>
      <c r="G57">
        <v>5</v>
      </c>
    </row>
    <row r="58" spans="1:7" x14ac:dyDescent="0.3">
      <c r="A58">
        <v>1057</v>
      </c>
      <c r="B58" t="s">
        <v>7</v>
      </c>
      <c r="C58" t="s">
        <v>19</v>
      </c>
      <c r="D58" t="s">
        <v>9</v>
      </c>
      <c r="E58">
        <v>38884</v>
      </c>
      <c r="F58">
        <v>8365</v>
      </c>
      <c r="G58">
        <v>6</v>
      </c>
    </row>
    <row r="59" spans="1:7" x14ac:dyDescent="0.3">
      <c r="A59">
        <v>1058</v>
      </c>
      <c r="B59" t="s">
        <v>26</v>
      </c>
      <c r="C59" t="s">
        <v>8</v>
      </c>
      <c r="D59" t="s">
        <v>21</v>
      </c>
      <c r="E59">
        <v>39456</v>
      </c>
      <c r="F59">
        <v>2415</v>
      </c>
      <c r="G59">
        <v>7</v>
      </c>
    </row>
    <row r="60" spans="1:7" x14ac:dyDescent="0.3">
      <c r="A60">
        <v>1059</v>
      </c>
      <c r="B60" t="s">
        <v>20</v>
      </c>
      <c r="C60" t="s">
        <v>19</v>
      </c>
      <c r="D60" t="s">
        <v>21</v>
      </c>
      <c r="E60">
        <v>75599</v>
      </c>
      <c r="F60">
        <v>3080</v>
      </c>
      <c r="G60">
        <v>6</v>
      </c>
    </row>
    <row r="61" spans="1:7" x14ac:dyDescent="0.3">
      <c r="A61">
        <v>1060</v>
      </c>
      <c r="B61" t="s">
        <v>27</v>
      </c>
      <c r="C61" t="s">
        <v>19</v>
      </c>
      <c r="D61" t="s">
        <v>21</v>
      </c>
      <c r="E61">
        <v>21371</v>
      </c>
      <c r="F61">
        <v>7106</v>
      </c>
      <c r="G61">
        <v>2</v>
      </c>
    </row>
    <row r="62" spans="1:7" x14ac:dyDescent="0.3">
      <c r="A62">
        <v>1061</v>
      </c>
      <c r="B62" t="s">
        <v>26</v>
      </c>
      <c r="C62" t="s">
        <v>8</v>
      </c>
      <c r="D62" t="s">
        <v>9</v>
      </c>
      <c r="E62">
        <v>30824</v>
      </c>
      <c r="F62">
        <v>2205</v>
      </c>
      <c r="G62">
        <v>10</v>
      </c>
    </row>
    <row r="63" spans="1:7" x14ac:dyDescent="0.3">
      <c r="A63">
        <v>1062</v>
      </c>
      <c r="B63" t="s">
        <v>7</v>
      </c>
      <c r="C63" t="s">
        <v>11</v>
      </c>
      <c r="D63" t="s">
        <v>9</v>
      </c>
      <c r="E63">
        <v>75049</v>
      </c>
      <c r="F63">
        <v>3176</v>
      </c>
      <c r="G63">
        <v>5</v>
      </c>
    </row>
    <row r="64" spans="1:7" x14ac:dyDescent="0.3">
      <c r="A64">
        <v>1063</v>
      </c>
      <c r="B64" t="s">
        <v>22</v>
      </c>
      <c r="C64" t="s">
        <v>14</v>
      </c>
      <c r="D64" t="s">
        <v>12</v>
      </c>
      <c r="E64">
        <v>72895</v>
      </c>
      <c r="F64">
        <v>1576</v>
      </c>
      <c r="G64">
        <v>7</v>
      </c>
    </row>
    <row r="65" spans="1:7" x14ac:dyDescent="0.3">
      <c r="A65">
        <v>1064</v>
      </c>
      <c r="B65" t="s">
        <v>20</v>
      </c>
      <c r="C65" t="s">
        <v>19</v>
      </c>
      <c r="D65" t="s">
        <v>21</v>
      </c>
      <c r="E65">
        <v>47550</v>
      </c>
      <c r="F65">
        <v>8666</v>
      </c>
      <c r="G65">
        <v>7</v>
      </c>
    </row>
    <row r="66" spans="1:7" x14ac:dyDescent="0.3">
      <c r="A66">
        <v>1065</v>
      </c>
      <c r="B66" t="s">
        <v>22</v>
      </c>
      <c r="C66" t="s">
        <v>11</v>
      </c>
      <c r="D66" t="s">
        <v>15</v>
      </c>
      <c r="E66">
        <v>55068</v>
      </c>
      <c r="F66">
        <v>3185</v>
      </c>
      <c r="G66">
        <v>7</v>
      </c>
    </row>
    <row r="67" spans="1:7" x14ac:dyDescent="0.3">
      <c r="A67">
        <v>1066</v>
      </c>
      <c r="B67" t="s">
        <v>33</v>
      </c>
      <c r="C67" t="s">
        <v>8</v>
      </c>
      <c r="D67" t="s">
        <v>15</v>
      </c>
      <c r="E67">
        <v>40936</v>
      </c>
      <c r="F67">
        <v>4211</v>
      </c>
      <c r="G67">
        <v>3</v>
      </c>
    </row>
    <row r="68" spans="1:7" x14ac:dyDescent="0.3">
      <c r="A68">
        <v>1067</v>
      </c>
      <c r="B68" t="s">
        <v>24</v>
      </c>
      <c r="C68" t="s">
        <v>19</v>
      </c>
      <c r="D68" t="s">
        <v>15</v>
      </c>
      <c r="E68">
        <v>61479</v>
      </c>
      <c r="F68">
        <v>5657</v>
      </c>
      <c r="G68">
        <v>10</v>
      </c>
    </row>
    <row r="69" spans="1:7" x14ac:dyDescent="0.3">
      <c r="A69">
        <v>1068</v>
      </c>
      <c r="B69" t="s">
        <v>22</v>
      </c>
      <c r="C69" t="s">
        <v>11</v>
      </c>
      <c r="D69" t="s">
        <v>12</v>
      </c>
      <c r="E69">
        <v>37975</v>
      </c>
      <c r="F69">
        <v>9510</v>
      </c>
      <c r="G69">
        <v>6</v>
      </c>
    </row>
    <row r="70" spans="1:7" x14ac:dyDescent="0.3">
      <c r="A70">
        <v>1069</v>
      </c>
      <c r="B70" t="s">
        <v>34</v>
      </c>
      <c r="C70" t="s">
        <v>8</v>
      </c>
      <c r="D70" t="s">
        <v>12</v>
      </c>
      <c r="E70">
        <v>25240</v>
      </c>
      <c r="F70">
        <v>4594</v>
      </c>
      <c r="G70">
        <v>8</v>
      </c>
    </row>
    <row r="71" spans="1:7" x14ac:dyDescent="0.3">
      <c r="A71">
        <v>1070</v>
      </c>
      <c r="B71" t="s">
        <v>27</v>
      </c>
      <c r="C71" t="s">
        <v>14</v>
      </c>
      <c r="D71" t="s">
        <v>21</v>
      </c>
      <c r="E71">
        <v>23101</v>
      </c>
      <c r="F71">
        <v>1108</v>
      </c>
      <c r="G71">
        <v>1</v>
      </c>
    </row>
    <row r="72" spans="1:7" x14ac:dyDescent="0.3">
      <c r="A72">
        <v>1071</v>
      </c>
      <c r="B72" t="s">
        <v>33</v>
      </c>
      <c r="C72" t="s">
        <v>11</v>
      </c>
      <c r="D72" t="s">
        <v>15</v>
      </c>
      <c r="E72">
        <v>28670</v>
      </c>
      <c r="F72">
        <v>5096</v>
      </c>
      <c r="G72">
        <v>6</v>
      </c>
    </row>
    <row r="73" spans="1:7" x14ac:dyDescent="0.3">
      <c r="A73">
        <v>1072</v>
      </c>
      <c r="B73" t="s">
        <v>7</v>
      </c>
      <c r="C73" t="s">
        <v>8</v>
      </c>
      <c r="D73" t="s">
        <v>12</v>
      </c>
      <c r="E73">
        <v>68210</v>
      </c>
      <c r="F73">
        <v>7404</v>
      </c>
      <c r="G73">
        <v>7</v>
      </c>
    </row>
    <row r="74" spans="1:7" x14ac:dyDescent="0.3">
      <c r="A74">
        <v>1073</v>
      </c>
      <c r="B74" t="s">
        <v>32</v>
      </c>
      <c r="C74" t="s">
        <v>14</v>
      </c>
      <c r="D74" t="s">
        <v>15</v>
      </c>
      <c r="E74">
        <v>41885</v>
      </c>
      <c r="F74">
        <v>5581</v>
      </c>
      <c r="G74">
        <v>9</v>
      </c>
    </row>
    <row r="75" spans="1:7" x14ac:dyDescent="0.3">
      <c r="A75">
        <v>1074</v>
      </c>
      <c r="B75" t="s">
        <v>33</v>
      </c>
      <c r="C75" t="s">
        <v>14</v>
      </c>
      <c r="D75" t="s">
        <v>15</v>
      </c>
      <c r="E75">
        <v>46855</v>
      </c>
      <c r="F75">
        <v>9162</v>
      </c>
      <c r="G75">
        <v>5</v>
      </c>
    </row>
    <row r="76" spans="1:7" x14ac:dyDescent="0.3">
      <c r="A76">
        <v>1075</v>
      </c>
      <c r="B76" t="s">
        <v>23</v>
      </c>
      <c r="C76" t="s">
        <v>14</v>
      </c>
      <c r="D76" t="s">
        <v>12</v>
      </c>
      <c r="E76">
        <v>67656</v>
      </c>
      <c r="F76">
        <v>1218</v>
      </c>
      <c r="G76">
        <v>10</v>
      </c>
    </row>
    <row r="77" spans="1:7" x14ac:dyDescent="0.3">
      <c r="A77">
        <v>1076</v>
      </c>
      <c r="B77" t="s">
        <v>13</v>
      </c>
      <c r="C77" t="s">
        <v>11</v>
      </c>
      <c r="D77" t="s">
        <v>12</v>
      </c>
      <c r="E77">
        <v>69576</v>
      </c>
      <c r="F77">
        <v>7262</v>
      </c>
      <c r="G77">
        <v>5</v>
      </c>
    </row>
    <row r="78" spans="1:7" x14ac:dyDescent="0.3">
      <c r="A78">
        <v>1077</v>
      </c>
      <c r="B78" t="s">
        <v>18</v>
      </c>
      <c r="C78" t="s">
        <v>8</v>
      </c>
      <c r="D78" t="s">
        <v>12</v>
      </c>
      <c r="E78">
        <v>71754</v>
      </c>
      <c r="F78">
        <v>2979</v>
      </c>
      <c r="G78">
        <v>1</v>
      </c>
    </row>
    <row r="79" spans="1:7" x14ac:dyDescent="0.3">
      <c r="A79">
        <v>1078</v>
      </c>
      <c r="B79" t="s">
        <v>31</v>
      </c>
      <c r="C79" t="s">
        <v>11</v>
      </c>
      <c r="D79" t="s">
        <v>15</v>
      </c>
      <c r="E79">
        <v>73784</v>
      </c>
      <c r="F79">
        <v>7859</v>
      </c>
      <c r="G79">
        <v>10</v>
      </c>
    </row>
    <row r="80" spans="1:7" x14ac:dyDescent="0.3">
      <c r="A80">
        <v>1079</v>
      </c>
      <c r="B80" t="s">
        <v>34</v>
      </c>
      <c r="C80" t="s">
        <v>19</v>
      </c>
      <c r="D80" t="s">
        <v>21</v>
      </c>
      <c r="E80">
        <v>26703</v>
      </c>
      <c r="F80">
        <v>7424</v>
      </c>
      <c r="G80">
        <v>7</v>
      </c>
    </row>
    <row r="81" spans="1:7" x14ac:dyDescent="0.3">
      <c r="A81">
        <v>1080</v>
      </c>
      <c r="B81" t="s">
        <v>25</v>
      </c>
      <c r="C81" t="s">
        <v>11</v>
      </c>
      <c r="D81" t="s">
        <v>15</v>
      </c>
      <c r="E81">
        <v>29509</v>
      </c>
      <c r="F81">
        <v>7481</v>
      </c>
      <c r="G81">
        <v>5</v>
      </c>
    </row>
    <row r="82" spans="1:7" x14ac:dyDescent="0.3">
      <c r="A82">
        <v>1081</v>
      </c>
      <c r="B82" t="s">
        <v>31</v>
      </c>
      <c r="C82" t="s">
        <v>19</v>
      </c>
      <c r="D82" t="s">
        <v>15</v>
      </c>
      <c r="E82">
        <v>73007</v>
      </c>
      <c r="F82">
        <v>6784</v>
      </c>
      <c r="G82">
        <v>3</v>
      </c>
    </row>
    <row r="83" spans="1:7" x14ac:dyDescent="0.3">
      <c r="A83">
        <v>1082</v>
      </c>
      <c r="B83" t="s">
        <v>18</v>
      </c>
      <c r="C83" t="s">
        <v>14</v>
      </c>
      <c r="D83" t="s">
        <v>12</v>
      </c>
      <c r="E83">
        <v>57292</v>
      </c>
      <c r="F83">
        <v>3999</v>
      </c>
      <c r="G83">
        <v>2</v>
      </c>
    </row>
    <row r="84" spans="1:7" x14ac:dyDescent="0.3">
      <c r="A84">
        <v>1083</v>
      </c>
      <c r="B84" t="s">
        <v>30</v>
      </c>
      <c r="C84" t="s">
        <v>19</v>
      </c>
      <c r="D84" t="s">
        <v>21</v>
      </c>
      <c r="E84">
        <v>41275</v>
      </c>
      <c r="F84">
        <v>9081</v>
      </c>
      <c r="G84">
        <v>9</v>
      </c>
    </row>
    <row r="85" spans="1:7" x14ac:dyDescent="0.3">
      <c r="A85">
        <v>1084</v>
      </c>
      <c r="B85" t="s">
        <v>22</v>
      </c>
      <c r="C85" t="s">
        <v>19</v>
      </c>
      <c r="D85" t="s">
        <v>9</v>
      </c>
      <c r="E85">
        <v>74986</v>
      </c>
      <c r="F85">
        <v>3129</v>
      </c>
      <c r="G85">
        <v>1</v>
      </c>
    </row>
    <row r="86" spans="1:7" x14ac:dyDescent="0.3">
      <c r="A86">
        <v>1085</v>
      </c>
      <c r="B86" t="s">
        <v>18</v>
      </c>
      <c r="C86" t="s">
        <v>14</v>
      </c>
      <c r="D86" t="s">
        <v>15</v>
      </c>
      <c r="E86">
        <v>26328</v>
      </c>
      <c r="F86">
        <v>2713</v>
      </c>
      <c r="G86">
        <v>8</v>
      </c>
    </row>
    <row r="87" spans="1:7" x14ac:dyDescent="0.3">
      <c r="A87">
        <v>1086</v>
      </c>
      <c r="B87" t="s">
        <v>30</v>
      </c>
      <c r="C87" t="s">
        <v>19</v>
      </c>
      <c r="D87" t="s">
        <v>12</v>
      </c>
      <c r="E87">
        <v>64262</v>
      </c>
      <c r="F87">
        <v>5101</v>
      </c>
      <c r="G87">
        <v>8</v>
      </c>
    </row>
    <row r="88" spans="1:7" x14ac:dyDescent="0.3">
      <c r="A88">
        <v>1087</v>
      </c>
      <c r="B88" t="s">
        <v>30</v>
      </c>
      <c r="C88" t="s">
        <v>14</v>
      </c>
      <c r="D88" t="s">
        <v>9</v>
      </c>
      <c r="E88">
        <v>35514</v>
      </c>
      <c r="F88">
        <v>7798</v>
      </c>
      <c r="G88">
        <v>8</v>
      </c>
    </row>
    <row r="89" spans="1:7" x14ac:dyDescent="0.3">
      <c r="A89">
        <v>1088</v>
      </c>
      <c r="B89" t="s">
        <v>33</v>
      </c>
      <c r="C89" t="s">
        <v>11</v>
      </c>
      <c r="D89" t="s">
        <v>12</v>
      </c>
      <c r="E89">
        <v>33097</v>
      </c>
      <c r="F89">
        <v>3123</v>
      </c>
      <c r="G89">
        <v>7</v>
      </c>
    </row>
    <row r="90" spans="1:7" x14ac:dyDescent="0.3">
      <c r="A90">
        <v>1089</v>
      </c>
      <c r="B90" t="s">
        <v>27</v>
      </c>
      <c r="C90" t="s">
        <v>19</v>
      </c>
      <c r="D90" t="s">
        <v>15</v>
      </c>
      <c r="E90">
        <v>71262</v>
      </c>
      <c r="F90">
        <v>7439</v>
      </c>
      <c r="G90">
        <v>4</v>
      </c>
    </row>
    <row r="91" spans="1:7" x14ac:dyDescent="0.3">
      <c r="A91">
        <v>1090</v>
      </c>
      <c r="B91" t="s">
        <v>25</v>
      </c>
      <c r="C91" t="s">
        <v>14</v>
      </c>
      <c r="D91" t="s">
        <v>15</v>
      </c>
      <c r="E91">
        <v>40271</v>
      </c>
      <c r="F91">
        <v>1664</v>
      </c>
      <c r="G91">
        <v>7</v>
      </c>
    </row>
    <row r="92" spans="1:7" x14ac:dyDescent="0.3">
      <c r="A92">
        <v>1091</v>
      </c>
      <c r="B92" t="s">
        <v>31</v>
      </c>
      <c r="C92" t="s">
        <v>14</v>
      </c>
      <c r="D92" t="s">
        <v>12</v>
      </c>
      <c r="E92">
        <v>79161</v>
      </c>
      <c r="F92">
        <v>5186</v>
      </c>
      <c r="G92">
        <v>9</v>
      </c>
    </row>
    <row r="93" spans="1:7" x14ac:dyDescent="0.3">
      <c r="A93">
        <v>1092</v>
      </c>
      <c r="B93" t="s">
        <v>24</v>
      </c>
      <c r="C93" t="s">
        <v>11</v>
      </c>
      <c r="D93" t="s">
        <v>9</v>
      </c>
      <c r="E93">
        <v>29387</v>
      </c>
      <c r="F93">
        <v>7882</v>
      </c>
      <c r="G93">
        <v>1</v>
      </c>
    </row>
    <row r="94" spans="1:7" x14ac:dyDescent="0.3">
      <c r="A94">
        <v>1093</v>
      </c>
      <c r="B94" t="s">
        <v>29</v>
      </c>
      <c r="C94" t="s">
        <v>8</v>
      </c>
      <c r="D94" t="s">
        <v>9</v>
      </c>
      <c r="E94">
        <v>26353</v>
      </c>
      <c r="F94">
        <v>6268</v>
      </c>
      <c r="G94">
        <v>8</v>
      </c>
    </row>
    <row r="95" spans="1:7" x14ac:dyDescent="0.3">
      <c r="A95">
        <v>1094</v>
      </c>
      <c r="B95" t="s">
        <v>23</v>
      </c>
      <c r="C95" t="s">
        <v>14</v>
      </c>
      <c r="D95" t="s">
        <v>21</v>
      </c>
      <c r="E95">
        <v>25298</v>
      </c>
      <c r="F95">
        <v>5540</v>
      </c>
      <c r="G95">
        <v>7</v>
      </c>
    </row>
    <row r="96" spans="1:7" x14ac:dyDescent="0.3">
      <c r="A96">
        <v>1095</v>
      </c>
      <c r="B96" t="s">
        <v>32</v>
      </c>
      <c r="C96" t="s">
        <v>19</v>
      </c>
      <c r="D96" t="s">
        <v>21</v>
      </c>
      <c r="E96">
        <v>23230</v>
      </c>
      <c r="F96">
        <v>5570</v>
      </c>
      <c r="G96">
        <v>3</v>
      </c>
    </row>
    <row r="97" spans="1:7" x14ac:dyDescent="0.3">
      <c r="A97">
        <v>1096</v>
      </c>
      <c r="B97" t="s">
        <v>31</v>
      </c>
      <c r="C97" t="s">
        <v>14</v>
      </c>
      <c r="D97" t="s">
        <v>9</v>
      </c>
      <c r="E97">
        <v>29456</v>
      </c>
      <c r="F97">
        <v>4321</v>
      </c>
      <c r="G97">
        <v>9</v>
      </c>
    </row>
    <row r="98" spans="1:7" x14ac:dyDescent="0.3">
      <c r="A98">
        <v>1097</v>
      </c>
      <c r="B98" t="s">
        <v>22</v>
      </c>
      <c r="C98" t="s">
        <v>11</v>
      </c>
      <c r="D98" t="s">
        <v>9</v>
      </c>
      <c r="E98">
        <v>44707</v>
      </c>
      <c r="F98">
        <v>6435</v>
      </c>
      <c r="G98">
        <v>7</v>
      </c>
    </row>
    <row r="99" spans="1:7" x14ac:dyDescent="0.3">
      <c r="A99">
        <v>1098</v>
      </c>
      <c r="B99" t="s">
        <v>16</v>
      </c>
      <c r="C99" t="s">
        <v>11</v>
      </c>
      <c r="D99" t="s">
        <v>12</v>
      </c>
      <c r="E99">
        <v>70947</v>
      </c>
      <c r="F99">
        <v>9984</v>
      </c>
      <c r="G99">
        <v>4</v>
      </c>
    </row>
    <row r="100" spans="1:7" x14ac:dyDescent="0.3">
      <c r="A100">
        <v>1099</v>
      </c>
      <c r="B100" t="s">
        <v>18</v>
      </c>
      <c r="C100" t="s">
        <v>14</v>
      </c>
      <c r="D100" t="s">
        <v>21</v>
      </c>
      <c r="E100">
        <v>36465</v>
      </c>
      <c r="F100">
        <v>4576</v>
      </c>
      <c r="G100">
        <v>10</v>
      </c>
    </row>
    <row r="101" spans="1:7" x14ac:dyDescent="0.3">
      <c r="A101">
        <v>1100</v>
      </c>
      <c r="B101" t="s">
        <v>25</v>
      </c>
      <c r="C101" t="s">
        <v>14</v>
      </c>
      <c r="D101" t="s">
        <v>21</v>
      </c>
      <c r="E101">
        <v>60782</v>
      </c>
      <c r="F101">
        <v>5399</v>
      </c>
      <c r="G101">
        <v>1</v>
      </c>
    </row>
    <row r="102" spans="1:7" x14ac:dyDescent="0.3">
      <c r="A102">
        <v>1101</v>
      </c>
      <c r="B102" t="s">
        <v>18</v>
      </c>
      <c r="C102" t="s">
        <v>8</v>
      </c>
      <c r="D102" t="s">
        <v>9</v>
      </c>
      <c r="E102">
        <v>69179</v>
      </c>
      <c r="F102">
        <v>8309</v>
      </c>
      <c r="G102">
        <v>9</v>
      </c>
    </row>
    <row r="103" spans="1:7" x14ac:dyDescent="0.3">
      <c r="A103">
        <v>1102</v>
      </c>
      <c r="B103" t="s">
        <v>24</v>
      </c>
      <c r="C103" t="s">
        <v>11</v>
      </c>
      <c r="D103" t="s">
        <v>21</v>
      </c>
      <c r="E103">
        <v>28278</v>
      </c>
      <c r="F103">
        <v>7093</v>
      </c>
      <c r="G103">
        <v>3</v>
      </c>
    </row>
    <row r="104" spans="1:7" x14ac:dyDescent="0.3">
      <c r="A104">
        <v>1103</v>
      </c>
      <c r="B104" t="s">
        <v>17</v>
      </c>
      <c r="C104" t="s">
        <v>14</v>
      </c>
      <c r="D104" t="s">
        <v>15</v>
      </c>
      <c r="E104">
        <v>21588</v>
      </c>
      <c r="F104">
        <v>8420</v>
      </c>
      <c r="G104">
        <v>10</v>
      </c>
    </row>
    <row r="105" spans="1:7" x14ac:dyDescent="0.3">
      <c r="A105">
        <v>1104</v>
      </c>
      <c r="B105" t="s">
        <v>7</v>
      </c>
      <c r="C105" t="s">
        <v>14</v>
      </c>
      <c r="D105" t="s">
        <v>15</v>
      </c>
      <c r="E105">
        <v>58257</v>
      </c>
      <c r="F105">
        <v>2551</v>
      </c>
      <c r="G105">
        <v>7</v>
      </c>
    </row>
    <row r="106" spans="1:7" x14ac:dyDescent="0.3">
      <c r="A106">
        <v>1105</v>
      </c>
      <c r="B106" t="s">
        <v>20</v>
      </c>
      <c r="C106" t="s">
        <v>14</v>
      </c>
      <c r="D106" t="s">
        <v>12</v>
      </c>
      <c r="E106">
        <v>35113</v>
      </c>
      <c r="F106">
        <v>6766</v>
      </c>
      <c r="G106">
        <v>6</v>
      </c>
    </row>
    <row r="107" spans="1:7" x14ac:dyDescent="0.3">
      <c r="A107">
        <v>1106</v>
      </c>
      <c r="B107" t="s">
        <v>28</v>
      </c>
      <c r="C107" t="s">
        <v>11</v>
      </c>
      <c r="D107" t="s">
        <v>21</v>
      </c>
      <c r="E107">
        <v>39364</v>
      </c>
      <c r="F107">
        <v>5237</v>
      </c>
      <c r="G107">
        <v>7</v>
      </c>
    </row>
    <row r="108" spans="1:7" x14ac:dyDescent="0.3">
      <c r="A108">
        <v>1107</v>
      </c>
      <c r="B108" t="s">
        <v>24</v>
      </c>
      <c r="C108" t="s">
        <v>19</v>
      </c>
      <c r="D108" t="s">
        <v>21</v>
      </c>
      <c r="E108">
        <v>20025</v>
      </c>
      <c r="F108">
        <v>9889</v>
      </c>
      <c r="G108">
        <v>6</v>
      </c>
    </row>
    <row r="109" spans="1:7" x14ac:dyDescent="0.3">
      <c r="A109">
        <v>1108</v>
      </c>
      <c r="B109" t="s">
        <v>27</v>
      </c>
      <c r="C109" t="s">
        <v>19</v>
      </c>
      <c r="D109" t="s">
        <v>12</v>
      </c>
      <c r="E109">
        <v>32604</v>
      </c>
      <c r="F109">
        <v>9062</v>
      </c>
      <c r="G109">
        <v>1</v>
      </c>
    </row>
    <row r="110" spans="1:7" x14ac:dyDescent="0.3">
      <c r="A110">
        <v>1109</v>
      </c>
      <c r="B110" t="s">
        <v>31</v>
      </c>
      <c r="C110" t="s">
        <v>19</v>
      </c>
      <c r="D110" t="s">
        <v>21</v>
      </c>
      <c r="E110">
        <v>20876</v>
      </c>
      <c r="F110">
        <v>4076</v>
      </c>
      <c r="G110">
        <v>8</v>
      </c>
    </row>
    <row r="111" spans="1:7" x14ac:dyDescent="0.3">
      <c r="A111">
        <v>1110</v>
      </c>
      <c r="B111" t="s">
        <v>31</v>
      </c>
      <c r="C111" t="s">
        <v>14</v>
      </c>
      <c r="D111" t="s">
        <v>12</v>
      </c>
      <c r="E111">
        <v>56776</v>
      </c>
      <c r="F111">
        <v>1203</v>
      </c>
      <c r="G111">
        <v>10</v>
      </c>
    </row>
    <row r="112" spans="1:7" x14ac:dyDescent="0.3">
      <c r="A112">
        <v>1111</v>
      </c>
      <c r="B112" t="s">
        <v>10</v>
      </c>
      <c r="C112" t="s">
        <v>19</v>
      </c>
      <c r="D112" t="s">
        <v>12</v>
      </c>
      <c r="E112">
        <v>23817</v>
      </c>
      <c r="F112">
        <v>6841</v>
      </c>
      <c r="G112">
        <v>1</v>
      </c>
    </row>
    <row r="113" spans="1:7" x14ac:dyDescent="0.3">
      <c r="A113">
        <v>1112</v>
      </c>
      <c r="B113" t="s">
        <v>28</v>
      </c>
      <c r="C113" t="s">
        <v>14</v>
      </c>
      <c r="D113" t="s">
        <v>9</v>
      </c>
      <c r="E113">
        <v>30085</v>
      </c>
      <c r="F113">
        <v>1516</v>
      </c>
      <c r="G113">
        <v>10</v>
      </c>
    </row>
    <row r="114" spans="1:7" x14ac:dyDescent="0.3">
      <c r="A114">
        <v>1113</v>
      </c>
      <c r="B114" t="s">
        <v>34</v>
      </c>
      <c r="C114" t="s">
        <v>8</v>
      </c>
      <c r="D114" t="s">
        <v>12</v>
      </c>
      <c r="E114">
        <v>78637</v>
      </c>
      <c r="F114">
        <v>9118</v>
      </c>
      <c r="G114">
        <v>4</v>
      </c>
    </row>
    <row r="115" spans="1:7" x14ac:dyDescent="0.3">
      <c r="A115">
        <v>1114</v>
      </c>
      <c r="B115" t="s">
        <v>27</v>
      </c>
      <c r="C115" t="s">
        <v>14</v>
      </c>
      <c r="D115" t="s">
        <v>12</v>
      </c>
      <c r="E115">
        <v>78931</v>
      </c>
      <c r="F115">
        <v>1218</v>
      </c>
      <c r="G115">
        <v>3</v>
      </c>
    </row>
    <row r="116" spans="1:7" x14ac:dyDescent="0.3">
      <c r="A116">
        <v>1115</v>
      </c>
      <c r="B116" t="s">
        <v>10</v>
      </c>
      <c r="C116" t="s">
        <v>19</v>
      </c>
      <c r="D116" t="s">
        <v>15</v>
      </c>
      <c r="E116">
        <v>29392</v>
      </c>
      <c r="F116">
        <v>8527</v>
      </c>
      <c r="G116">
        <v>5</v>
      </c>
    </row>
    <row r="117" spans="1:7" x14ac:dyDescent="0.3">
      <c r="A117">
        <v>1116</v>
      </c>
      <c r="B117" t="s">
        <v>22</v>
      </c>
      <c r="C117" t="s">
        <v>14</v>
      </c>
      <c r="D117" t="s">
        <v>15</v>
      </c>
      <c r="E117">
        <v>28276</v>
      </c>
      <c r="F117">
        <v>5914</v>
      </c>
      <c r="G117">
        <v>4</v>
      </c>
    </row>
    <row r="118" spans="1:7" x14ac:dyDescent="0.3">
      <c r="A118">
        <v>1117</v>
      </c>
      <c r="B118" t="s">
        <v>26</v>
      </c>
      <c r="C118" t="s">
        <v>8</v>
      </c>
      <c r="D118" t="s">
        <v>9</v>
      </c>
      <c r="E118">
        <v>38807</v>
      </c>
      <c r="F118">
        <v>9823</v>
      </c>
      <c r="G118">
        <v>3</v>
      </c>
    </row>
    <row r="119" spans="1:7" x14ac:dyDescent="0.3">
      <c r="A119">
        <v>1118</v>
      </c>
      <c r="B119" t="s">
        <v>13</v>
      </c>
      <c r="C119" t="s">
        <v>19</v>
      </c>
      <c r="D119" t="s">
        <v>21</v>
      </c>
      <c r="E119">
        <v>33487</v>
      </c>
      <c r="F119">
        <v>4839</v>
      </c>
      <c r="G119">
        <v>2</v>
      </c>
    </row>
    <row r="120" spans="1:7" x14ac:dyDescent="0.3">
      <c r="A120">
        <v>1119</v>
      </c>
      <c r="B120" t="s">
        <v>29</v>
      </c>
      <c r="C120" t="s">
        <v>19</v>
      </c>
      <c r="D120" t="s">
        <v>9</v>
      </c>
      <c r="E120">
        <v>25317</v>
      </c>
      <c r="F120">
        <v>4802</v>
      </c>
      <c r="G120">
        <v>6</v>
      </c>
    </row>
    <row r="121" spans="1:7" x14ac:dyDescent="0.3">
      <c r="A121">
        <v>1120</v>
      </c>
      <c r="B121" t="s">
        <v>28</v>
      </c>
      <c r="C121" t="s">
        <v>8</v>
      </c>
      <c r="D121" t="s">
        <v>9</v>
      </c>
      <c r="E121">
        <v>28287</v>
      </c>
      <c r="F121">
        <v>8969</v>
      </c>
      <c r="G121">
        <v>7</v>
      </c>
    </row>
    <row r="122" spans="1:7" x14ac:dyDescent="0.3">
      <c r="A122">
        <v>1121</v>
      </c>
      <c r="B122" t="s">
        <v>29</v>
      </c>
      <c r="C122" t="s">
        <v>19</v>
      </c>
      <c r="D122" t="s">
        <v>21</v>
      </c>
      <c r="E122">
        <v>35399</v>
      </c>
      <c r="F122">
        <v>9317</v>
      </c>
      <c r="G122">
        <v>8</v>
      </c>
    </row>
    <row r="123" spans="1:7" x14ac:dyDescent="0.3">
      <c r="A123">
        <v>1122</v>
      </c>
      <c r="B123" t="s">
        <v>24</v>
      </c>
      <c r="C123" t="s">
        <v>14</v>
      </c>
      <c r="D123" t="s">
        <v>15</v>
      </c>
      <c r="E123">
        <v>46599</v>
      </c>
      <c r="F123">
        <v>4074</v>
      </c>
      <c r="G123">
        <v>10</v>
      </c>
    </row>
    <row r="124" spans="1:7" x14ac:dyDescent="0.3">
      <c r="A124">
        <v>1123</v>
      </c>
      <c r="B124" t="s">
        <v>20</v>
      </c>
      <c r="C124" t="s">
        <v>11</v>
      </c>
      <c r="D124" t="s">
        <v>12</v>
      </c>
      <c r="E124">
        <v>59734</v>
      </c>
      <c r="F124">
        <v>3246</v>
      </c>
      <c r="G124">
        <v>5</v>
      </c>
    </row>
    <row r="125" spans="1:7" x14ac:dyDescent="0.3">
      <c r="A125">
        <v>1124</v>
      </c>
      <c r="B125" t="s">
        <v>22</v>
      </c>
      <c r="C125" t="s">
        <v>8</v>
      </c>
      <c r="D125" t="s">
        <v>12</v>
      </c>
      <c r="E125">
        <v>25152</v>
      </c>
      <c r="F125">
        <v>5992</v>
      </c>
      <c r="G125">
        <v>1</v>
      </c>
    </row>
    <row r="126" spans="1:7" x14ac:dyDescent="0.3">
      <c r="A126">
        <v>1125</v>
      </c>
      <c r="B126" t="s">
        <v>32</v>
      </c>
      <c r="C126" t="s">
        <v>11</v>
      </c>
      <c r="D126" t="s">
        <v>21</v>
      </c>
      <c r="E126">
        <v>38456</v>
      </c>
      <c r="F126">
        <v>2384</v>
      </c>
      <c r="G126">
        <v>9</v>
      </c>
    </row>
    <row r="127" spans="1:7" x14ac:dyDescent="0.3">
      <c r="A127">
        <v>1126</v>
      </c>
      <c r="B127" t="s">
        <v>13</v>
      </c>
      <c r="C127" t="s">
        <v>11</v>
      </c>
      <c r="D127" t="s">
        <v>15</v>
      </c>
      <c r="E127">
        <v>71495</v>
      </c>
      <c r="F127">
        <v>5935</v>
      </c>
      <c r="G127">
        <v>5</v>
      </c>
    </row>
    <row r="128" spans="1:7" x14ac:dyDescent="0.3">
      <c r="A128">
        <v>1127</v>
      </c>
      <c r="B128" t="s">
        <v>20</v>
      </c>
      <c r="C128" t="s">
        <v>8</v>
      </c>
      <c r="D128" t="s">
        <v>9</v>
      </c>
      <c r="E128">
        <v>77769</v>
      </c>
      <c r="F128">
        <v>1746</v>
      </c>
      <c r="G128">
        <v>9</v>
      </c>
    </row>
    <row r="129" spans="1:7" x14ac:dyDescent="0.3">
      <c r="A129">
        <v>1128</v>
      </c>
      <c r="B129" t="s">
        <v>7</v>
      </c>
      <c r="C129" t="s">
        <v>8</v>
      </c>
      <c r="D129" t="s">
        <v>9</v>
      </c>
      <c r="E129">
        <v>31202</v>
      </c>
      <c r="F129">
        <v>6127</v>
      </c>
      <c r="G129">
        <v>4</v>
      </c>
    </row>
    <row r="130" spans="1:7" x14ac:dyDescent="0.3">
      <c r="A130">
        <v>1129</v>
      </c>
      <c r="B130" t="s">
        <v>30</v>
      </c>
      <c r="C130" t="s">
        <v>11</v>
      </c>
      <c r="D130" t="s">
        <v>12</v>
      </c>
      <c r="E130">
        <v>32732</v>
      </c>
      <c r="F130">
        <v>7132</v>
      </c>
      <c r="G130">
        <v>2</v>
      </c>
    </row>
    <row r="131" spans="1:7" x14ac:dyDescent="0.3">
      <c r="A131">
        <v>1130</v>
      </c>
      <c r="B131" t="s">
        <v>32</v>
      </c>
      <c r="C131" t="s">
        <v>11</v>
      </c>
      <c r="D131" t="s">
        <v>9</v>
      </c>
      <c r="E131">
        <v>62701</v>
      </c>
      <c r="F131">
        <v>9881</v>
      </c>
      <c r="G131">
        <v>6</v>
      </c>
    </row>
    <row r="132" spans="1:7" x14ac:dyDescent="0.3">
      <c r="A132">
        <v>1131</v>
      </c>
      <c r="B132" t="s">
        <v>24</v>
      </c>
      <c r="C132" t="s">
        <v>14</v>
      </c>
      <c r="D132" t="s">
        <v>9</v>
      </c>
      <c r="E132">
        <v>43824</v>
      </c>
      <c r="F132">
        <v>3196</v>
      </c>
      <c r="G132">
        <v>2</v>
      </c>
    </row>
    <row r="133" spans="1:7" x14ac:dyDescent="0.3">
      <c r="A133">
        <v>1132</v>
      </c>
      <c r="B133" t="s">
        <v>13</v>
      </c>
      <c r="C133" t="s">
        <v>8</v>
      </c>
      <c r="D133" t="s">
        <v>9</v>
      </c>
      <c r="E133">
        <v>70362</v>
      </c>
      <c r="F133">
        <v>5310</v>
      </c>
      <c r="G133">
        <v>6</v>
      </c>
    </row>
    <row r="134" spans="1:7" x14ac:dyDescent="0.3">
      <c r="A134">
        <v>1133</v>
      </c>
      <c r="B134" t="s">
        <v>18</v>
      </c>
      <c r="C134" t="s">
        <v>19</v>
      </c>
      <c r="D134" t="s">
        <v>9</v>
      </c>
      <c r="E134">
        <v>66281</v>
      </c>
      <c r="F134">
        <v>9057</v>
      </c>
      <c r="G134">
        <v>9</v>
      </c>
    </row>
    <row r="135" spans="1:7" x14ac:dyDescent="0.3">
      <c r="A135">
        <v>1134</v>
      </c>
      <c r="B135" t="s">
        <v>20</v>
      </c>
      <c r="C135" t="s">
        <v>11</v>
      </c>
      <c r="D135" t="s">
        <v>15</v>
      </c>
      <c r="E135">
        <v>62150</v>
      </c>
      <c r="F135">
        <v>5194</v>
      </c>
      <c r="G135">
        <v>5</v>
      </c>
    </row>
    <row r="136" spans="1:7" x14ac:dyDescent="0.3">
      <c r="A136">
        <v>1135</v>
      </c>
      <c r="B136" t="s">
        <v>29</v>
      </c>
      <c r="C136" t="s">
        <v>14</v>
      </c>
      <c r="D136" t="s">
        <v>15</v>
      </c>
      <c r="E136">
        <v>68466</v>
      </c>
      <c r="F136">
        <v>7926</v>
      </c>
      <c r="G136">
        <v>6</v>
      </c>
    </row>
    <row r="137" spans="1:7" x14ac:dyDescent="0.3">
      <c r="A137">
        <v>1136</v>
      </c>
      <c r="B137" t="s">
        <v>24</v>
      </c>
      <c r="C137" t="s">
        <v>11</v>
      </c>
      <c r="D137" t="s">
        <v>12</v>
      </c>
      <c r="E137">
        <v>35905</v>
      </c>
      <c r="F137">
        <v>8168</v>
      </c>
      <c r="G137">
        <v>5</v>
      </c>
    </row>
    <row r="138" spans="1:7" x14ac:dyDescent="0.3">
      <c r="A138">
        <v>1137</v>
      </c>
      <c r="B138" t="s">
        <v>26</v>
      </c>
      <c r="C138" t="s">
        <v>11</v>
      </c>
      <c r="D138" t="s">
        <v>15</v>
      </c>
      <c r="E138">
        <v>29337</v>
      </c>
      <c r="F138">
        <v>2840</v>
      </c>
      <c r="G138">
        <v>1</v>
      </c>
    </row>
    <row r="139" spans="1:7" x14ac:dyDescent="0.3">
      <c r="A139">
        <v>1138</v>
      </c>
      <c r="B139" t="s">
        <v>29</v>
      </c>
      <c r="C139" t="s">
        <v>8</v>
      </c>
      <c r="D139" t="s">
        <v>9</v>
      </c>
      <c r="E139">
        <v>62891</v>
      </c>
      <c r="F139">
        <v>7534</v>
      </c>
      <c r="G139">
        <v>7</v>
      </c>
    </row>
    <row r="140" spans="1:7" x14ac:dyDescent="0.3">
      <c r="A140">
        <v>1139</v>
      </c>
      <c r="B140" t="s">
        <v>7</v>
      </c>
      <c r="C140" t="s">
        <v>8</v>
      </c>
      <c r="D140" t="s">
        <v>12</v>
      </c>
      <c r="E140">
        <v>70278</v>
      </c>
      <c r="F140">
        <v>3722</v>
      </c>
      <c r="G140">
        <v>4</v>
      </c>
    </row>
    <row r="141" spans="1:7" x14ac:dyDescent="0.3">
      <c r="A141">
        <v>1140</v>
      </c>
      <c r="B141" t="s">
        <v>30</v>
      </c>
      <c r="C141" t="s">
        <v>14</v>
      </c>
      <c r="D141" t="s">
        <v>21</v>
      </c>
      <c r="E141">
        <v>42516</v>
      </c>
      <c r="F141">
        <v>4527</v>
      </c>
      <c r="G141">
        <v>2</v>
      </c>
    </row>
    <row r="142" spans="1:7" x14ac:dyDescent="0.3">
      <c r="A142">
        <v>1141</v>
      </c>
      <c r="B142" t="s">
        <v>33</v>
      </c>
      <c r="C142" t="s">
        <v>8</v>
      </c>
      <c r="D142" t="s">
        <v>21</v>
      </c>
      <c r="E142">
        <v>47585</v>
      </c>
      <c r="F142">
        <v>9569</v>
      </c>
      <c r="G142">
        <v>5</v>
      </c>
    </row>
    <row r="143" spans="1:7" x14ac:dyDescent="0.3">
      <c r="A143">
        <v>1142</v>
      </c>
      <c r="B143" t="s">
        <v>17</v>
      </c>
      <c r="C143" t="s">
        <v>11</v>
      </c>
      <c r="D143" t="s">
        <v>12</v>
      </c>
      <c r="E143">
        <v>39651</v>
      </c>
      <c r="F143">
        <v>1339</v>
      </c>
      <c r="G143">
        <v>6</v>
      </c>
    </row>
    <row r="144" spans="1:7" x14ac:dyDescent="0.3">
      <c r="A144">
        <v>1143</v>
      </c>
      <c r="B144" t="s">
        <v>23</v>
      </c>
      <c r="C144" t="s">
        <v>14</v>
      </c>
      <c r="D144" t="s">
        <v>12</v>
      </c>
      <c r="E144">
        <v>57341</v>
      </c>
      <c r="F144">
        <v>4129</v>
      </c>
      <c r="G144">
        <v>4</v>
      </c>
    </row>
    <row r="145" spans="1:7" x14ac:dyDescent="0.3">
      <c r="A145">
        <v>1144</v>
      </c>
      <c r="B145" t="s">
        <v>16</v>
      </c>
      <c r="C145" t="s">
        <v>19</v>
      </c>
      <c r="D145" t="s">
        <v>12</v>
      </c>
      <c r="E145">
        <v>24667</v>
      </c>
      <c r="F145">
        <v>7693</v>
      </c>
      <c r="G145">
        <v>3</v>
      </c>
    </row>
    <row r="146" spans="1:7" x14ac:dyDescent="0.3">
      <c r="A146">
        <v>1145</v>
      </c>
      <c r="B146" t="s">
        <v>24</v>
      </c>
      <c r="C146" t="s">
        <v>19</v>
      </c>
      <c r="D146" t="s">
        <v>21</v>
      </c>
      <c r="E146">
        <v>21739</v>
      </c>
      <c r="F146">
        <v>7379</v>
      </c>
      <c r="G146">
        <v>8</v>
      </c>
    </row>
    <row r="147" spans="1:7" x14ac:dyDescent="0.3">
      <c r="A147">
        <v>1146</v>
      </c>
      <c r="B147" t="s">
        <v>22</v>
      </c>
      <c r="C147" t="s">
        <v>14</v>
      </c>
      <c r="D147" t="s">
        <v>21</v>
      </c>
      <c r="E147">
        <v>58099</v>
      </c>
      <c r="F147">
        <v>5243</v>
      </c>
      <c r="G147">
        <v>5</v>
      </c>
    </row>
    <row r="148" spans="1:7" x14ac:dyDescent="0.3">
      <c r="A148">
        <v>1147</v>
      </c>
      <c r="B148" t="s">
        <v>13</v>
      </c>
      <c r="C148" t="s">
        <v>14</v>
      </c>
      <c r="D148" t="s">
        <v>15</v>
      </c>
      <c r="E148">
        <v>47929</v>
      </c>
      <c r="F148">
        <v>4306</v>
      </c>
      <c r="G148">
        <v>6</v>
      </c>
    </row>
    <row r="149" spans="1:7" x14ac:dyDescent="0.3">
      <c r="A149">
        <v>1148</v>
      </c>
      <c r="B149" t="s">
        <v>27</v>
      </c>
      <c r="C149" t="s">
        <v>8</v>
      </c>
      <c r="D149" t="s">
        <v>21</v>
      </c>
      <c r="E149">
        <v>22609</v>
      </c>
      <c r="F149">
        <v>7674</v>
      </c>
      <c r="G149">
        <v>7</v>
      </c>
    </row>
    <row r="150" spans="1:7" x14ac:dyDescent="0.3">
      <c r="A150">
        <v>1149</v>
      </c>
      <c r="B150" t="s">
        <v>34</v>
      </c>
      <c r="C150" t="s">
        <v>19</v>
      </c>
      <c r="D150" t="s">
        <v>15</v>
      </c>
      <c r="E150">
        <v>46977</v>
      </c>
      <c r="F150">
        <v>3949</v>
      </c>
      <c r="G150">
        <v>3</v>
      </c>
    </row>
    <row r="151" spans="1:7" x14ac:dyDescent="0.3">
      <c r="A151">
        <v>1150</v>
      </c>
      <c r="B151" t="s">
        <v>18</v>
      </c>
      <c r="C151" t="s">
        <v>19</v>
      </c>
      <c r="D151" t="s">
        <v>21</v>
      </c>
      <c r="E151">
        <v>60494</v>
      </c>
      <c r="F151">
        <v>4222</v>
      </c>
      <c r="G151">
        <v>5</v>
      </c>
    </row>
    <row r="152" spans="1:7" x14ac:dyDescent="0.3">
      <c r="A152">
        <v>1151</v>
      </c>
      <c r="B152" t="s">
        <v>34</v>
      </c>
      <c r="C152" t="s">
        <v>11</v>
      </c>
      <c r="D152" t="s">
        <v>15</v>
      </c>
      <c r="E152">
        <v>76345</v>
      </c>
      <c r="F152">
        <v>4343</v>
      </c>
      <c r="G152">
        <v>3</v>
      </c>
    </row>
    <row r="153" spans="1:7" x14ac:dyDescent="0.3">
      <c r="A153">
        <v>1152</v>
      </c>
      <c r="B153" t="s">
        <v>10</v>
      </c>
      <c r="C153" t="s">
        <v>19</v>
      </c>
      <c r="D153" t="s">
        <v>12</v>
      </c>
      <c r="E153">
        <v>57626</v>
      </c>
      <c r="F153">
        <v>6698</v>
      </c>
      <c r="G153">
        <v>9</v>
      </c>
    </row>
    <row r="154" spans="1:7" x14ac:dyDescent="0.3">
      <c r="A154">
        <v>1153</v>
      </c>
      <c r="B154" t="s">
        <v>29</v>
      </c>
      <c r="C154" t="s">
        <v>19</v>
      </c>
      <c r="D154" t="s">
        <v>12</v>
      </c>
      <c r="E154">
        <v>44248</v>
      </c>
      <c r="F154">
        <v>3806</v>
      </c>
      <c r="G154">
        <v>8</v>
      </c>
    </row>
    <row r="155" spans="1:7" x14ac:dyDescent="0.3">
      <c r="A155">
        <v>1154</v>
      </c>
      <c r="B155" t="s">
        <v>27</v>
      </c>
      <c r="C155" t="s">
        <v>19</v>
      </c>
      <c r="D155" t="s">
        <v>15</v>
      </c>
      <c r="E155">
        <v>78746</v>
      </c>
      <c r="F155">
        <v>1003</v>
      </c>
      <c r="G155">
        <v>10</v>
      </c>
    </row>
    <row r="156" spans="1:7" x14ac:dyDescent="0.3">
      <c r="A156">
        <v>1155</v>
      </c>
      <c r="B156" t="s">
        <v>20</v>
      </c>
      <c r="C156" t="s">
        <v>19</v>
      </c>
      <c r="D156" t="s">
        <v>21</v>
      </c>
      <c r="E156">
        <v>33611</v>
      </c>
      <c r="F156">
        <v>6183</v>
      </c>
      <c r="G156">
        <v>7</v>
      </c>
    </row>
    <row r="157" spans="1:7" x14ac:dyDescent="0.3">
      <c r="A157">
        <v>1156</v>
      </c>
      <c r="B157" t="s">
        <v>29</v>
      </c>
      <c r="C157" t="s">
        <v>14</v>
      </c>
      <c r="D157" t="s">
        <v>21</v>
      </c>
      <c r="E157">
        <v>33415</v>
      </c>
      <c r="F157">
        <v>7380</v>
      </c>
      <c r="G157">
        <v>1</v>
      </c>
    </row>
    <row r="158" spans="1:7" x14ac:dyDescent="0.3">
      <c r="A158">
        <v>1157</v>
      </c>
      <c r="B158" t="s">
        <v>16</v>
      </c>
      <c r="C158" t="s">
        <v>14</v>
      </c>
      <c r="D158" t="s">
        <v>12</v>
      </c>
      <c r="E158">
        <v>31503</v>
      </c>
      <c r="F158">
        <v>3768</v>
      </c>
      <c r="G158">
        <v>2</v>
      </c>
    </row>
    <row r="159" spans="1:7" x14ac:dyDescent="0.3">
      <c r="A159">
        <v>1158</v>
      </c>
      <c r="B159" t="s">
        <v>28</v>
      </c>
      <c r="C159" t="s">
        <v>19</v>
      </c>
      <c r="D159" t="s">
        <v>9</v>
      </c>
      <c r="E159">
        <v>54251</v>
      </c>
      <c r="F159">
        <v>6419</v>
      </c>
      <c r="G159">
        <v>5</v>
      </c>
    </row>
    <row r="160" spans="1:7" x14ac:dyDescent="0.3">
      <c r="A160">
        <v>1159</v>
      </c>
      <c r="B160" t="s">
        <v>17</v>
      </c>
      <c r="C160" t="s">
        <v>11</v>
      </c>
      <c r="D160" t="s">
        <v>9</v>
      </c>
      <c r="E160">
        <v>45175</v>
      </c>
      <c r="F160">
        <v>8040</v>
      </c>
      <c r="G160">
        <v>10</v>
      </c>
    </row>
    <row r="161" spans="1:7" x14ac:dyDescent="0.3">
      <c r="A161">
        <v>1160</v>
      </c>
      <c r="B161" t="s">
        <v>18</v>
      </c>
      <c r="C161" t="s">
        <v>8</v>
      </c>
      <c r="D161" t="s">
        <v>21</v>
      </c>
      <c r="E161">
        <v>70498</v>
      </c>
      <c r="F161">
        <v>5555</v>
      </c>
      <c r="G161">
        <v>9</v>
      </c>
    </row>
    <row r="162" spans="1:7" x14ac:dyDescent="0.3">
      <c r="A162">
        <v>1161</v>
      </c>
      <c r="B162" t="s">
        <v>29</v>
      </c>
      <c r="C162" t="s">
        <v>19</v>
      </c>
      <c r="D162" t="s">
        <v>12</v>
      </c>
      <c r="E162">
        <v>55331</v>
      </c>
      <c r="F162">
        <v>5247</v>
      </c>
      <c r="G162">
        <v>5</v>
      </c>
    </row>
    <row r="163" spans="1:7" x14ac:dyDescent="0.3">
      <c r="A163">
        <v>1162</v>
      </c>
      <c r="B163" t="s">
        <v>20</v>
      </c>
      <c r="C163" t="s">
        <v>19</v>
      </c>
      <c r="D163" t="s">
        <v>15</v>
      </c>
      <c r="E163">
        <v>64798</v>
      </c>
      <c r="F163">
        <v>9017</v>
      </c>
      <c r="G163">
        <v>5</v>
      </c>
    </row>
    <row r="164" spans="1:7" x14ac:dyDescent="0.3">
      <c r="A164">
        <v>1163</v>
      </c>
      <c r="B164" t="s">
        <v>30</v>
      </c>
      <c r="C164" t="s">
        <v>14</v>
      </c>
      <c r="D164" t="s">
        <v>15</v>
      </c>
      <c r="E164">
        <v>63306</v>
      </c>
      <c r="F164">
        <v>2001</v>
      </c>
      <c r="G164">
        <v>2</v>
      </c>
    </row>
    <row r="165" spans="1:7" x14ac:dyDescent="0.3">
      <c r="A165">
        <v>1164</v>
      </c>
      <c r="B165" t="s">
        <v>27</v>
      </c>
      <c r="C165" t="s">
        <v>14</v>
      </c>
      <c r="D165" t="s">
        <v>12</v>
      </c>
      <c r="E165">
        <v>71398</v>
      </c>
      <c r="F165">
        <v>5683</v>
      </c>
      <c r="G165">
        <v>6</v>
      </c>
    </row>
    <row r="166" spans="1:7" x14ac:dyDescent="0.3">
      <c r="A166">
        <v>1165</v>
      </c>
      <c r="B166" t="s">
        <v>26</v>
      </c>
      <c r="C166" t="s">
        <v>19</v>
      </c>
      <c r="D166" t="s">
        <v>9</v>
      </c>
      <c r="E166">
        <v>21242</v>
      </c>
      <c r="F166">
        <v>4151</v>
      </c>
      <c r="G166">
        <v>8</v>
      </c>
    </row>
    <row r="167" spans="1:7" x14ac:dyDescent="0.3">
      <c r="A167">
        <v>1166</v>
      </c>
      <c r="B167" t="s">
        <v>30</v>
      </c>
      <c r="C167" t="s">
        <v>14</v>
      </c>
      <c r="D167" t="s">
        <v>12</v>
      </c>
      <c r="E167">
        <v>46098</v>
      </c>
      <c r="F167">
        <v>2242</v>
      </c>
      <c r="G167">
        <v>2</v>
      </c>
    </row>
    <row r="168" spans="1:7" x14ac:dyDescent="0.3">
      <c r="A168">
        <v>1167</v>
      </c>
      <c r="B168" t="s">
        <v>34</v>
      </c>
      <c r="C168" t="s">
        <v>8</v>
      </c>
      <c r="D168" t="s">
        <v>15</v>
      </c>
      <c r="E168">
        <v>78975</v>
      </c>
      <c r="F168">
        <v>7971</v>
      </c>
      <c r="G168">
        <v>1</v>
      </c>
    </row>
    <row r="169" spans="1:7" x14ac:dyDescent="0.3">
      <c r="A169">
        <v>1168</v>
      </c>
      <c r="B169" t="s">
        <v>16</v>
      </c>
      <c r="C169" t="s">
        <v>19</v>
      </c>
      <c r="D169" t="s">
        <v>12</v>
      </c>
      <c r="E169">
        <v>26070</v>
      </c>
      <c r="F169">
        <v>6110</v>
      </c>
      <c r="G169">
        <v>8</v>
      </c>
    </row>
    <row r="170" spans="1:7" x14ac:dyDescent="0.3">
      <c r="A170">
        <v>1169</v>
      </c>
      <c r="B170" t="s">
        <v>25</v>
      </c>
      <c r="C170" t="s">
        <v>19</v>
      </c>
      <c r="D170" t="s">
        <v>9</v>
      </c>
      <c r="E170">
        <v>20631</v>
      </c>
      <c r="F170">
        <v>2822</v>
      </c>
      <c r="G170">
        <v>3</v>
      </c>
    </row>
    <row r="171" spans="1:7" x14ac:dyDescent="0.3">
      <c r="A171">
        <v>1170</v>
      </c>
      <c r="B171" t="s">
        <v>17</v>
      </c>
      <c r="C171" t="s">
        <v>19</v>
      </c>
      <c r="D171" t="s">
        <v>9</v>
      </c>
      <c r="E171">
        <v>35132</v>
      </c>
      <c r="F171">
        <v>8238</v>
      </c>
      <c r="G171">
        <v>3</v>
      </c>
    </row>
    <row r="172" spans="1:7" x14ac:dyDescent="0.3">
      <c r="A172">
        <v>1171</v>
      </c>
      <c r="B172" t="s">
        <v>27</v>
      </c>
      <c r="C172" t="s">
        <v>19</v>
      </c>
      <c r="D172" t="s">
        <v>21</v>
      </c>
      <c r="E172">
        <v>44462</v>
      </c>
      <c r="F172">
        <v>9032</v>
      </c>
      <c r="G172">
        <v>3</v>
      </c>
    </row>
    <row r="173" spans="1:7" x14ac:dyDescent="0.3">
      <c r="A173">
        <v>1172</v>
      </c>
      <c r="B173" t="s">
        <v>28</v>
      </c>
      <c r="C173" t="s">
        <v>11</v>
      </c>
      <c r="D173" t="s">
        <v>9</v>
      </c>
      <c r="E173">
        <v>34266</v>
      </c>
      <c r="F173">
        <v>3393</v>
      </c>
      <c r="G173">
        <v>8</v>
      </c>
    </row>
    <row r="174" spans="1:7" x14ac:dyDescent="0.3">
      <c r="A174">
        <v>1173</v>
      </c>
      <c r="B174" t="s">
        <v>13</v>
      </c>
      <c r="C174" t="s">
        <v>11</v>
      </c>
      <c r="D174" t="s">
        <v>21</v>
      </c>
      <c r="E174">
        <v>30560</v>
      </c>
      <c r="F174">
        <v>1838</v>
      </c>
      <c r="G174">
        <v>5</v>
      </c>
    </row>
    <row r="175" spans="1:7" x14ac:dyDescent="0.3">
      <c r="A175">
        <v>1174</v>
      </c>
      <c r="B175" t="s">
        <v>28</v>
      </c>
      <c r="C175" t="s">
        <v>8</v>
      </c>
      <c r="D175" t="s">
        <v>9</v>
      </c>
      <c r="E175">
        <v>51855</v>
      </c>
      <c r="F175">
        <v>9985</v>
      </c>
      <c r="G175">
        <v>10</v>
      </c>
    </row>
    <row r="176" spans="1:7" x14ac:dyDescent="0.3">
      <c r="A176">
        <v>1175</v>
      </c>
      <c r="B176" t="s">
        <v>18</v>
      </c>
      <c r="C176" t="s">
        <v>19</v>
      </c>
      <c r="D176" t="s">
        <v>21</v>
      </c>
      <c r="E176">
        <v>35005</v>
      </c>
      <c r="F176">
        <v>3384</v>
      </c>
      <c r="G176">
        <v>7</v>
      </c>
    </row>
    <row r="177" spans="1:7" x14ac:dyDescent="0.3">
      <c r="A177">
        <v>1176</v>
      </c>
      <c r="B177" t="s">
        <v>31</v>
      </c>
      <c r="C177" t="s">
        <v>11</v>
      </c>
      <c r="D177" t="s">
        <v>12</v>
      </c>
      <c r="E177">
        <v>37553</v>
      </c>
      <c r="F177">
        <v>6097</v>
      </c>
      <c r="G177">
        <v>1</v>
      </c>
    </row>
    <row r="178" spans="1:7" x14ac:dyDescent="0.3">
      <c r="A178">
        <v>1177</v>
      </c>
      <c r="B178" t="s">
        <v>20</v>
      </c>
      <c r="C178" t="s">
        <v>11</v>
      </c>
      <c r="D178" t="s">
        <v>12</v>
      </c>
      <c r="E178">
        <v>58007</v>
      </c>
      <c r="F178">
        <v>4127</v>
      </c>
      <c r="G178">
        <v>6</v>
      </c>
    </row>
    <row r="179" spans="1:7" x14ac:dyDescent="0.3">
      <c r="A179">
        <v>1178</v>
      </c>
      <c r="B179" t="s">
        <v>26</v>
      </c>
      <c r="C179" t="s">
        <v>8</v>
      </c>
      <c r="D179" t="s">
        <v>12</v>
      </c>
      <c r="E179">
        <v>44886</v>
      </c>
      <c r="F179">
        <v>3752</v>
      </c>
      <c r="G179">
        <v>8</v>
      </c>
    </row>
    <row r="180" spans="1:7" x14ac:dyDescent="0.3">
      <c r="A180">
        <v>1179</v>
      </c>
      <c r="B180" t="s">
        <v>31</v>
      </c>
      <c r="C180" t="s">
        <v>8</v>
      </c>
      <c r="D180" t="s">
        <v>12</v>
      </c>
      <c r="E180">
        <v>21895</v>
      </c>
      <c r="F180">
        <v>5325</v>
      </c>
      <c r="G180">
        <v>9</v>
      </c>
    </row>
    <row r="181" spans="1:7" x14ac:dyDescent="0.3">
      <c r="A181">
        <v>1180</v>
      </c>
      <c r="B181" t="s">
        <v>27</v>
      </c>
      <c r="C181" t="s">
        <v>14</v>
      </c>
      <c r="D181" t="s">
        <v>9</v>
      </c>
      <c r="E181">
        <v>67885</v>
      </c>
      <c r="F181">
        <v>8490</v>
      </c>
      <c r="G181">
        <v>2</v>
      </c>
    </row>
    <row r="182" spans="1:7" x14ac:dyDescent="0.3">
      <c r="A182">
        <v>1181</v>
      </c>
      <c r="B182" t="s">
        <v>33</v>
      </c>
      <c r="C182" t="s">
        <v>14</v>
      </c>
      <c r="D182" t="s">
        <v>12</v>
      </c>
      <c r="E182">
        <v>54803</v>
      </c>
      <c r="F182">
        <v>9775</v>
      </c>
      <c r="G182">
        <v>6</v>
      </c>
    </row>
    <row r="183" spans="1:7" x14ac:dyDescent="0.3">
      <c r="A183">
        <v>1182</v>
      </c>
      <c r="B183" t="s">
        <v>20</v>
      </c>
      <c r="C183" t="s">
        <v>14</v>
      </c>
      <c r="D183" t="s">
        <v>15</v>
      </c>
      <c r="E183">
        <v>33998</v>
      </c>
      <c r="F183">
        <v>9740</v>
      </c>
      <c r="G183">
        <v>1</v>
      </c>
    </row>
    <row r="184" spans="1:7" x14ac:dyDescent="0.3">
      <c r="A184">
        <v>1183</v>
      </c>
      <c r="B184" t="s">
        <v>13</v>
      </c>
      <c r="C184" t="s">
        <v>14</v>
      </c>
      <c r="D184" t="s">
        <v>15</v>
      </c>
      <c r="E184">
        <v>42192</v>
      </c>
      <c r="F184">
        <v>4501</v>
      </c>
      <c r="G184">
        <v>1</v>
      </c>
    </row>
    <row r="185" spans="1:7" x14ac:dyDescent="0.3">
      <c r="A185">
        <v>1184</v>
      </c>
      <c r="B185" t="s">
        <v>23</v>
      </c>
      <c r="C185" t="s">
        <v>11</v>
      </c>
      <c r="D185" t="s">
        <v>15</v>
      </c>
      <c r="E185">
        <v>38608</v>
      </c>
      <c r="F185">
        <v>1166</v>
      </c>
      <c r="G185">
        <v>7</v>
      </c>
    </row>
    <row r="186" spans="1:7" x14ac:dyDescent="0.3">
      <c r="A186">
        <v>1185</v>
      </c>
      <c r="B186" t="s">
        <v>30</v>
      </c>
      <c r="C186" t="s">
        <v>8</v>
      </c>
      <c r="D186" t="s">
        <v>9</v>
      </c>
      <c r="E186">
        <v>56134</v>
      </c>
      <c r="F186">
        <v>2119</v>
      </c>
      <c r="G186">
        <v>3</v>
      </c>
    </row>
    <row r="187" spans="1:7" x14ac:dyDescent="0.3">
      <c r="A187">
        <v>1186</v>
      </c>
      <c r="B187" t="s">
        <v>27</v>
      </c>
      <c r="C187" t="s">
        <v>19</v>
      </c>
      <c r="D187" t="s">
        <v>9</v>
      </c>
      <c r="E187">
        <v>47213</v>
      </c>
      <c r="F187">
        <v>2028</v>
      </c>
      <c r="G187">
        <v>3</v>
      </c>
    </row>
    <row r="188" spans="1:7" x14ac:dyDescent="0.3">
      <c r="A188">
        <v>1187</v>
      </c>
      <c r="B188" t="s">
        <v>7</v>
      </c>
      <c r="C188" t="s">
        <v>8</v>
      </c>
      <c r="D188" t="s">
        <v>9</v>
      </c>
      <c r="E188">
        <v>31666</v>
      </c>
      <c r="F188">
        <v>1066</v>
      </c>
      <c r="G188">
        <v>7</v>
      </c>
    </row>
    <row r="189" spans="1:7" x14ac:dyDescent="0.3">
      <c r="A189">
        <v>1188</v>
      </c>
      <c r="B189" t="s">
        <v>32</v>
      </c>
      <c r="C189" t="s">
        <v>8</v>
      </c>
      <c r="D189" t="s">
        <v>9</v>
      </c>
      <c r="E189">
        <v>32596</v>
      </c>
      <c r="F189">
        <v>1819</v>
      </c>
      <c r="G189">
        <v>10</v>
      </c>
    </row>
    <row r="190" spans="1:7" x14ac:dyDescent="0.3">
      <c r="A190">
        <v>1189</v>
      </c>
      <c r="B190" t="s">
        <v>30</v>
      </c>
      <c r="C190" t="s">
        <v>11</v>
      </c>
      <c r="D190" t="s">
        <v>12</v>
      </c>
      <c r="E190">
        <v>69517</v>
      </c>
      <c r="F190">
        <v>3075</v>
      </c>
      <c r="G190">
        <v>7</v>
      </c>
    </row>
    <row r="191" spans="1:7" x14ac:dyDescent="0.3">
      <c r="A191">
        <v>1190</v>
      </c>
      <c r="B191" t="s">
        <v>7</v>
      </c>
      <c r="C191" t="s">
        <v>14</v>
      </c>
      <c r="D191" t="s">
        <v>15</v>
      </c>
      <c r="E191">
        <v>55079</v>
      </c>
      <c r="F191">
        <v>9032</v>
      </c>
      <c r="G191">
        <v>7</v>
      </c>
    </row>
    <row r="192" spans="1:7" x14ac:dyDescent="0.3">
      <c r="A192">
        <v>1191</v>
      </c>
      <c r="B192" t="s">
        <v>13</v>
      </c>
      <c r="C192" t="s">
        <v>11</v>
      </c>
      <c r="D192" t="s">
        <v>9</v>
      </c>
      <c r="E192">
        <v>66992</v>
      </c>
      <c r="F192">
        <v>9201</v>
      </c>
      <c r="G192">
        <v>4</v>
      </c>
    </row>
    <row r="193" spans="1:7" x14ac:dyDescent="0.3">
      <c r="A193">
        <v>1192</v>
      </c>
      <c r="B193" t="s">
        <v>20</v>
      </c>
      <c r="C193" t="s">
        <v>8</v>
      </c>
      <c r="D193" t="s">
        <v>21</v>
      </c>
      <c r="E193">
        <v>44664</v>
      </c>
      <c r="F193">
        <v>8413</v>
      </c>
      <c r="G193">
        <v>6</v>
      </c>
    </row>
    <row r="194" spans="1:7" x14ac:dyDescent="0.3">
      <c r="A194">
        <v>1193</v>
      </c>
      <c r="B194" t="s">
        <v>32</v>
      </c>
      <c r="C194" t="s">
        <v>14</v>
      </c>
      <c r="D194" t="s">
        <v>15</v>
      </c>
      <c r="E194">
        <v>47580</v>
      </c>
      <c r="F194">
        <v>4552</v>
      </c>
      <c r="G194">
        <v>6</v>
      </c>
    </row>
    <row r="195" spans="1:7" x14ac:dyDescent="0.3">
      <c r="A195">
        <v>1194</v>
      </c>
      <c r="B195" t="s">
        <v>13</v>
      </c>
      <c r="C195" t="s">
        <v>8</v>
      </c>
      <c r="D195" t="s">
        <v>21</v>
      </c>
      <c r="E195">
        <v>36345</v>
      </c>
      <c r="F195">
        <v>9023</v>
      </c>
      <c r="G195">
        <v>6</v>
      </c>
    </row>
    <row r="196" spans="1:7" x14ac:dyDescent="0.3">
      <c r="A196">
        <v>1195</v>
      </c>
      <c r="B196" t="s">
        <v>33</v>
      </c>
      <c r="C196" t="s">
        <v>8</v>
      </c>
      <c r="D196" t="s">
        <v>15</v>
      </c>
      <c r="E196">
        <v>52111</v>
      </c>
      <c r="F196">
        <v>5478</v>
      </c>
      <c r="G196">
        <v>9</v>
      </c>
    </row>
    <row r="197" spans="1:7" x14ac:dyDescent="0.3">
      <c r="A197">
        <v>1196</v>
      </c>
      <c r="B197" t="s">
        <v>26</v>
      </c>
      <c r="C197" t="s">
        <v>11</v>
      </c>
      <c r="D197" t="s">
        <v>21</v>
      </c>
      <c r="E197">
        <v>64671</v>
      </c>
      <c r="F197">
        <v>8872</v>
      </c>
      <c r="G197">
        <v>2</v>
      </c>
    </row>
    <row r="198" spans="1:7" x14ac:dyDescent="0.3">
      <c r="A198">
        <v>1197</v>
      </c>
      <c r="B198" t="s">
        <v>13</v>
      </c>
      <c r="C198" t="s">
        <v>11</v>
      </c>
      <c r="D198" t="s">
        <v>12</v>
      </c>
      <c r="E198">
        <v>40141</v>
      </c>
      <c r="F198">
        <v>8464</v>
      </c>
      <c r="G198">
        <v>5</v>
      </c>
    </row>
    <row r="199" spans="1:7" x14ac:dyDescent="0.3">
      <c r="A199">
        <v>1198</v>
      </c>
      <c r="B199" t="s">
        <v>18</v>
      </c>
      <c r="C199" t="s">
        <v>14</v>
      </c>
      <c r="D199" t="s">
        <v>21</v>
      </c>
      <c r="E199">
        <v>43489</v>
      </c>
      <c r="F199">
        <v>2907</v>
      </c>
      <c r="G199">
        <v>4</v>
      </c>
    </row>
    <row r="200" spans="1:7" x14ac:dyDescent="0.3">
      <c r="A200">
        <v>1199</v>
      </c>
      <c r="B200" t="s">
        <v>24</v>
      </c>
      <c r="C200" t="s">
        <v>8</v>
      </c>
      <c r="D200" t="s">
        <v>15</v>
      </c>
      <c r="E200">
        <v>69522</v>
      </c>
      <c r="F200">
        <v>7203</v>
      </c>
      <c r="G200">
        <v>7</v>
      </c>
    </row>
    <row r="201" spans="1:7" x14ac:dyDescent="0.3">
      <c r="A201">
        <v>1200</v>
      </c>
      <c r="B201" t="s">
        <v>31</v>
      </c>
      <c r="C201" t="s">
        <v>8</v>
      </c>
      <c r="D201" t="s">
        <v>15</v>
      </c>
      <c r="E201">
        <v>31001</v>
      </c>
      <c r="F201">
        <v>6324</v>
      </c>
      <c r="G201">
        <v>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72E716-486B-4DDD-8BD6-6992F8C06B8B}">
  <dimension ref="B1:O207"/>
  <sheetViews>
    <sheetView tabSelected="1" topLeftCell="B1" workbookViewId="0">
      <selection activeCell="F7" sqref="F7"/>
    </sheetView>
  </sheetViews>
  <sheetFormatPr defaultRowHeight="14.4" x14ac:dyDescent="0.3"/>
  <cols>
    <col min="2" max="2" width="7.33203125" bestFit="1" customWidth="1"/>
    <col min="3" max="3" width="6.77734375" bestFit="1" customWidth="1"/>
    <col min="4" max="4" width="10.77734375" bestFit="1" customWidth="1"/>
    <col min="5" max="5" width="14.6640625" bestFit="1" customWidth="1"/>
    <col min="6" max="6" width="12.33203125" style="7" bestFit="1" customWidth="1"/>
    <col min="7" max="7" width="6" bestFit="1" customWidth="1"/>
    <col min="8" max="8" width="15.44140625" bestFit="1" customWidth="1"/>
    <col min="10" max="10" width="15.33203125" style="26" bestFit="1" customWidth="1"/>
    <col min="11" max="11" width="10.6640625" style="2" bestFit="1" customWidth="1"/>
    <col min="13" max="13" width="17.77734375" bestFit="1" customWidth="1"/>
    <col min="14" max="14" width="20" bestFit="1" customWidth="1"/>
    <col min="15" max="15" width="14.77734375" bestFit="1" customWidth="1"/>
  </cols>
  <sheetData>
    <row r="1" spans="2:15" x14ac:dyDescent="0.3">
      <c r="B1" s="4" t="s">
        <v>0</v>
      </c>
      <c r="C1" s="4" t="s">
        <v>1</v>
      </c>
      <c r="D1" s="4" t="s">
        <v>2</v>
      </c>
      <c r="E1" s="4" t="s">
        <v>3</v>
      </c>
      <c r="F1" s="5" t="s">
        <v>4</v>
      </c>
      <c r="G1" s="4" t="s">
        <v>5</v>
      </c>
      <c r="H1" s="4" t="s">
        <v>6</v>
      </c>
      <c r="I1" s="24" t="s">
        <v>35</v>
      </c>
      <c r="J1" s="25" t="s">
        <v>49</v>
      </c>
      <c r="K1" s="3" t="s">
        <v>51</v>
      </c>
    </row>
    <row r="2" spans="2:15" x14ac:dyDescent="0.3">
      <c r="B2" s="2">
        <v>1001</v>
      </c>
      <c r="C2" s="2" t="s">
        <v>7</v>
      </c>
      <c r="D2" s="2" t="s">
        <v>8</v>
      </c>
      <c r="E2" s="2" t="s">
        <v>9</v>
      </c>
      <c r="F2" s="6">
        <v>50226</v>
      </c>
      <c r="G2" s="2">
        <v>5581</v>
      </c>
      <c r="H2" s="2">
        <v>4</v>
      </c>
      <c r="I2" s="14">
        <f>F2+G2</f>
        <v>55807</v>
      </c>
      <c r="J2" s="26" t="str">
        <f>IF(F2&gt;50000, "high", "low")</f>
        <v>high</v>
      </c>
      <c r="K2" s="2" t="str">
        <f>IF(H2&gt;5, "5000", "2000")</f>
        <v>2000</v>
      </c>
      <c r="M2" s="1" t="s">
        <v>53</v>
      </c>
    </row>
    <row r="3" spans="2:15" x14ac:dyDescent="0.3">
      <c r="B3" s="2">
        <v>1002</v>
      </c>
      <c r="C3" s="2" t="s">
        <v>10</v>
      </c>
      <c r="D3" s="2" t="s">
        <v>11</v>
      </c>
      <c r="E3" s="2" t="s">
        <v>12</v>
      </c>
      <c r="F3" s="6">
        <v>20625</v>
      </c>
      <c r="G3" s="2">
        <v>6504</v>
      </c>
      <c r="H3" s="2">
        <v>8</v>
      </c>
      <c r="I3" s="14">
        <f t="shared" ref="I3:I66" si="0">F3+G3</f>
        <v>27129</v>
      </c>
      <c r="J3" s="26" t="str">
        <f t="shared" ref="J3:J66" si="1">IF(F3&gt;50000, "high", "low")</f>
        <v>low</v>
      </c>
      <c r="K3" s="2" t="str">
        <f t="shared" ref="K3:K66" si="2">IF(H3&gt;5, "5000", "2000")</f>
        <v>5000</v>
      </c>
      <c r="L3" s="7"/>
    </row>
    <row r="4" spans="2:15" x14ac:dyDescent="0.3">
      <c r="B4" s="2">
        <v>1003</v>
      </c>
      <c r="C4" s="2" t="s">
        <v>13</v>
      </c>
      <c r="D4" s="2" t="s">
        <v>14</v>
      </c>
      <c r="E4" s="2" t="s">
        <v>15</v>
      </c>
      <c r="F4" s="6">
        <v>54226</v>
      </c>
      <c r="G4" s="2">
        <v>8405</v>
      </c>
      <c r="H4" s="2">
        <v>1</v>
      </c>
      <c r="I4" s="14">
        <f t="shared" si="0"/>
        <v>62631</v>
      </c>
      <c r="J4" s="26" t="str">
        <f t="shared" si="1"/>
        <v>high</v>
      </c>
      <c r="K4" s="2" t="str">
        <f t="shared" si="2"/>
        <v>2000</v>
      </c>
    </row>
    <row r="5" spans="2:15" ht="15" thickBot="1" x14ac:dyDescent="0.35">
      <c r="B5" s="2">
        <v>1004</v>
      </c>
      <c r="C5" s="2" t="s">
        <v>16</v>
      </c>
      <c r="D5" s="2" t="s">
        <v>14</v>
      </c>
      <c r="E5" s="2" t="s">
        <v>12</v>
      </c>
      <c r="F5" s="6">
        <v>20937</v>
      </c>
      <c r="G5" s="2">
        <v>9217</v>
      </c>
      <c r="H5" s="2">
        <v>3</v>
      </c>
      <c r="I5" s="14">
        <f t="shared" si="0"/>
        <v>30154</v>
      </c>
      <c r="J5" s="26" t="str">
        <f t="shared" si="1"/>
        <v>low</v>
      </c>
      <c r="K5" s="2" t="str">
        <f t="shared" si="2"/>
        <v>2000</v>
      </c>
    </row>
    <row r="6" spans="2:15" ht="15" thickBot="1" x14ac:dyDescent="0.35">
      <c r="B6" s="2">
        <v>1005</v>
      </c>
      <c r="C6" s="2" t="s">
        <v>17</v>
      </c>
      <c r="D6" s="2" t="s">
        <v>8</v>
      </c>
      <c r="E6" s="2" t="s">
        <v>9</v>
      </c>
      <c r="F6" s="6">
        <v>76227</v>
      </c>
      <c r="G6" s="2">
        <v>7057</v>
      </c>
      <c r="H6" s="2">
        <v>5</v>
      </c>
      <c r="I6" s="14">
        <f t="shared" si="0"/>
        <v>83284</v>
      </c>
      <c r="J6" s="26" t="str">
        <f t="shared" si="1"/>
        <v>high</v>
      </c>
      <c r="K6" s="2" t="str">
        <f t="shared" si="2"/>
        <v>2000</v>
      </c>
      <c r="M6" s="22" t="s">
        <v>41</v>
      </c>
      <c r="N6" s="23" t="s">
        <v>42</v>
      </c>
      <c r="O6" s="23" t="s">
        <v>43</v>
      </c>
    </row>
    <row r="7" spans="2:15" ht="18" x14ac:dyDescent="0.35">
      <c r="B7" s="2">
        <v>1006</v>
      </c>
      <c r="C7" s="2" t="s">
        <v>18</v>
      </c>
      <c r="D7" s="2" t="s">
        <v>11</v>
      </c>
      <c r="E7" s="2" t="s">
        <v>12</v>
      </c>
      <c r="F7" s="6">
        <v>67297</v>
      </c>
      <c r="G7" s="2">
        <v>8259</v>
      </c>
      <c r="H7" s="2">
        <v>8</v>
      </c>
      <c r="I7" s="14">
        <f t="shared" si="0"/>
        <v>75556</v>
      </c>
      <c r="J7" s="26" t="str">
        <f t="shared" si="1"/>
        <v>high</v>
      </c>
      <c r="K7" s="2" t="str">
        <f t="shared" si="2"/>
        <v>5000</v>
      </c>
      <c r="M7" s="21" t="s">
        <v>44</v>
      </c>
      <c r="N7" s="19" t="s">
        <v>36</v>
      </c>
      <c r="O7" s="20">
        <f>MAX(F2:F201)</f>
        <v>79600</v>
      </c>
    </row>
    <row r="8" spans="2:15" ht="18" x14ac:dyDescent="0.35">
      <c r="B8" s="2">
        <v>1007</v>
      </c>
      <c r="C8" s="2" t="s">
        <v>16</v>
      </c>
      <c r="D8" s="2" t="s">
        <v>19</v>
      </c>
      <c r="E8" s="2" t="s">
        <v>15</v>
      </c>
      <c r="F8" s="6">
        <v>29660</v>
      </c>
      <c r="G8" s="2">
        <v>2245</v>
      </c>
      <c r="H8" s="2">
        <v>9</v>
      </c>
      <c r="I8" s="14">
        <f t="shared" si="0"/>
        <v>31905</v>
      </c>
      <c r="J8" s="26" t="str">
        <f t="shared" si="1"/>
        <v>low</v>
      </c>
      <c r="K8" s="2" t="str">
        <f t="shared" si="2"/>
        <v>5000</v>
      </c>
      <c r="M8" s="2" t="s">
        <v>45</v>
      </c>
      <c r="N8" s="16" t="s">
        <v>37</v>
      </c>
      <c r="O8" s="17">
        <f>MIN(F2:F201)</f>
        <v>20025</v>
      </c>
    </row>
    <row r="9" spans="2:15" ht="18" x14ac:dyDescent="0.35">
      <c r="B9" s="2">
        <v>1008</v>
      </c>
      <c r="C9" s="2" t="s">
        <v>20</v>
      </c>
      <c r="D9" s="2" t="s">
        <v>14</v>
      </c>
      <c r="E9" s="2" t="s">
        <v>21</v>
      </c>
      <c r="F9" s="6">
        <v>44193</v>
      </c>
      <c r="G9" s="2">
        <v>3612</v>
      </c>
      <c r="H9" s="2">
        <v>8</v>
      </c>
      <c r="I9" s="14">
        <f t="shared" si="0"/>
        <v>47805</v>
      </c>
      <c r="J9" s="26" t="str">
        <f t="shared" si="1"/>
        <v>low</v>
      </c>
      <c r="K9" s="2" t="str">
        <f t="shared" si="2"/>
        <v>5000</v>
      </c>
      <c r="M9" s="2" t="s">
        <v>46</v>
      </c>
      <c r="N9" s="16" t="s">
        <v>38</v>
      </c>
      <c r="O9" s="17">
        <f>SUM(F2:F201)</f>
        <v>9657920</v>
      </c>
    </row>
    <row r="10" spans="2:15" ht="18" x14ac:dyDescent="0.35">
      <c r="B10" s="2">
        <v>1009</v>
      </c>
      <c r="C10" s="2" t="s">
        <v>7</v>
      </c>
      <c r="D10" s="2" t="s">
        <v>19</v>
      </c>
      <c r="E10" s="2" t="s">
        <v>15</v>
      </c>
      <c r="F10" s="6">
        <v>58552</v>
      </c>
      <c r="G10" s="2">
        <v>7262</v>
      </c>
      <c r="H10" s="2">
        <v>5</v>
      </c>
      <c r="I10" s="14">
        <f t="shared" si="0"/>
        <v>65814</v>
      </c>
      <c r="J10" s="26" t="str">
        <f t="shared" si="1"/>
        <v>high</v>
      </c>
      <c r="K10" s="2" t="str">
        <f t="shared" si="2"/>
        <v>2000</v>
      </c>
      <c r="M10" s="2" t="s">
        <v>47</v>
      </c>
      <c r="N10" s="16" t="s">
        <v>39</v>
      </c>
      <c r="O10" s="18">
        <f>COUNT(B2:B201)</f>
        <v>200</v>
      </c>
    </row>
    <row r="11" spans="2:15" ht="18" x14ac:dyDescent="0.35">
      <c r="B11" s="2">
        <v>1010</v>
      </c>
      <c r="C11" s="2" t="s">
        <v>22</v>
      </c>
      <c r="D11" s="2" t="s">
        <v>19</v>
      </c>
      <c r="E11" s="2" t="s">
        <v>15</v>
      </c>
      <c r="F11" s="6">
        <v>67997</v>
      </c>
      <c r="G11" s="2">
        <v>1164</v>
      </c>
      <c r="H11" s="2">
        <v>4</v>
      </c>
      <c r="I11" s="14">
        <f t="shared" si="0"/>
        <v>69161</v>
      </c>
      <c r="J11" s="26" t="str">
        <f t="shared" si="1"/>
        <v>high</v>
      </c>
      <c r="K11" s="2" t="str">
        <f t="shared" si="2"/>
        <v>2000</v>
      </c>
      <c r="M11" s="2" t="s">
        <v>48</v>
      </c>
      <c r="N11" s="16" t="s">
        <v>40</v>
      </c>
      <c r="O11" s="17">
        <f>AVERAGE(F2:F201)</f>
        <v>48289.599999999999</v>
      </c>
    </row>
    <row r="12" spans="2:15" x14ac:dyDescent="0.3">
      <c r="B12" s="2">
        <v>1011</v>
      </c>
      <c r="C12" s="2" t="s">
        <v>22</v>
      </c>
      <c r="D12" s="2" t="s">
        <v>8</v>
      </c>
      <c r="E12" s="2" t="s">
        <v>21</v>
      </c>
      <c r="F12" s="6">
        <v>26573</v>
      </c>
      <c r="G12" s="2">
        <v>5768</v>
      </c>
      <c r="H12" s="2">
        <v>4</v>
      </c>
      <c r="I12" s="14">
        <f t="shared" si="0"/>
        <v>32341</v>
      </c>
      <c r="J12" s="26" t="str">
        <f t="shared" si="1"/>
        <v>low</v>
      </c>
      <c r="K12" s="2" t="str">
        <f t="shared" si="2"/>
        <v>2000</v>
      </c>
    </row>
    <row r="13" spans="2:15" x14ac:dyDescent="0.3">
      <c r="B13" s="2">
        <v>1012</v>
      </c>
      <c r="C13" s="2" t="s">
        <v>23</v>
      </c>
      <c r="D13" s="2" t="s">
        <v>8</v>
      </c>
      <c r="E13" s="2" t="s">
        <v>15</v>
      </c>
      <c r="F13" s="6">
        <v>70449</v>
      </c>
      <c r="G13" s="2">
        <v>8386</v>
      </c>
      <c r="H13" s="2">
        <v>8</v>
      </c>
      <c r="I13" s="14">
        <f t="shared" si="0"/>
        <v>78835</v>
      </c>
      <c r="J13" s="26" t="str">
        <f t="shared" si="1"/>
        <v>high</v>
      </c>
      <c r="K13" s="2" t="str">
        <f t="shared" si="2"/>
        <v>5000</v>
      </c>
    </row>
    <row r="14" spans="2:15" ht="15" thickBot="1" x14ac:dyDescent="0.35">
      <c r="B14" s="2">
        <v>1013</v>
      </c>
      <c r="C14" s="2" t="s">
        <v>24</v>
      </c>
      <c r="D14" s="2" t="s">
        <v>11</v>
      </c>
      <c r="E14" s="2" t="s">
        <v>15</v>
      </c>
      <c r="F14" s="6">
        <v>76305</v>
      </c>
      <c r="G14" s="2">
        <v>4910</v>
      </c>
      <c r="H14" s="2">
        <v>1</v>
      </c>
      <c r="I14" s="14">
        <f t="shared" si="0"/>
        <v>81215</v>
      </c>
      <c r="J14" s="26" t="str">
        <f t="shared" si="1"/>
        <v>high</v>
      </c>
      <c r="K14" s="2" t="str">
        <f t="shared" si="2"/>
        <v>2000</v>
      </c>
    </row>
    <row r="15" spans="2:15" ht="15" thickBot="1" x14ac:dyDescent="0.35">
      <c r="B15" s="2">
        <v>1014</v>
      </c>
      <c r="C15" s="2" t="s">
        <v>25</v>
      </c>
      <c r="D15" s="2" t="s">
        <v>8</v>
      </c>
      <c r="E15" s="2" t="s">
        <v>12</v>
      </c>
      <c r="F15" s="6">
        <v>75837</v>
      </c>
      <c r="G15" s="2">
        <v>3707</v>
      </c>
      <c r="H15" s="2">
        <v>4</v>
      </c>
      <c r="I15" s="14">
        <f t="shared" si="0"/>
        <v>79544</v>
      </c>
      <c r="J15" s="26" t="str">
        <f t="shared" si="1"/>
        <v>high</v>
      </c>
      <c r="K15" s="2" t="str">
        <f t="shared" si="2"/>
        <v>2000</v>
      </c>
      <c r="M15" s="29" t="s">
        <v>52</v>
      </c>
      <c r="N15" s="30"/>
    </row>
    <row r="16" spans="2:15" x14ac:dyDescent="0.3">
      <c r="B16" s="2">
        <v>1015</v>
      </c>
      <c r="C16" s="2" t="s">
        <v>26</v>
      </c>
      <c r="D16" s="2" t="s">
        <v>8</v>
      </c>
      <c r="E16" s="2" t="s">
        <v>15</v>
      </c>
      <c r="F16" s="6">
        <v>37399</v>
      </c>
      <c r="G16" s="2">
        <v>7673</v>
      </c>
      <c r="H16" s="2">
        <v>8</v>
      </c>
      <c r="I16" s="14">
        <f t="shared" si="0"/>
        <v>45072</v>
      </c>
      <c r="J16" s="26" t="str">
        <f t="shared" si="1"/>
        <v>low</v>
      </c>
      <c r="K16" s="2" t="str">
        <f t="shared" si="2"/>
        <v>5000</v>
      </c>
      <c r="M16" s="28" t="s">
        <v>2</v>
      </c>
      <c r="N16" s="28" t="s">
        <v>50</v>
      </c>
    </row>
    <row r="17" spans="2:14" x14ac:dyDescent="0.3">
      <c r="B17" s="2">
        <v>1016</v>
      </c>
      <c r="C17" s="2" t="s">
        <v>27</v>
      </c>
      <c r="D17" s="2" t="s">
        <v>19</v>
      </c>
      <c r="E17" s="2" t="s">
        <v>15</v>
      </c>
      <c r="F17" s="6">
        <v>36079</v>
      </c>
      <c r="G17" s="2">
        <v>1227</v>
      </c>
      <c r="H17" s="2">
        <v>9</v>
      </c>
      <c r="I17" s="14">
        <f t="shared" si="0"/>
        <v>37306</v>
      </c>
      <c r="J17" s="26" t="str">
        <f t="shared" si="1"/>
        <v>low</v>
      </c>
      <c r="K17" s="2" t="str">
        <f t="shared" si="2"/>
        <v>5000</v>
      </c>
      <c r="M17" s="27" t="str" cm="1">
        <f t="array" ref="M17:M20">_xlfn.UNIQUE(D2:D201)</f>
        <v>IT</v>
      </c>
      <c r="N17" s="27">
        <f>COUNTIF(D:D, "IT")</f>
        <v>48</v>
      </c>
    </row>
    <row r="18" spans="2:14" x14ac:dyDescent="0.3">
      <c r="B18" s="2">
        <v>1017</v>
      </c>
      <c r="C18" s="2" t="s">
        <v>22</v>
      </c>
      <c r="D18" s="2" t="s">
        <v>11</v>
      </c>
      <c r="E18" s="2" t="s">
        <v>21</v>
      </c>
      <c r="F18" s="6">
        <v>56682</v>
      </c>
      <c r="G18" s="2">
        <v>1665</v>
      </c>
      <c r="H18" s="2">
        <v>1</v>
      </c>
      <c r="I18" s="14">
        <f t="shared" si="0"/>
        <v>58347</v>
      </c>
      <c r="J18" s="26" t="str">
        <f t="shared" si="1"/>
        <v>high</v>
      </c>
      <c r="K18" s="2" t="str">
        <f t="shared" si="2"/>
        <v>2000</v>
      </c>
      <c r="M18" s="27" t="str">
        <v>Finance</v>
      </c>
      <c r="N18" s="27">
        <f>COUNTIF(D:D, "Finance")</f>
        <v>43</v>
      </c>
    </row>
    <row r="19" spans="2:14" x14ac:dyDescent="0.3">
      <c r="B19" s="2">
        <v>1018</v>
      </c>
      <c r="C19" s="2" t="s">
        <v>23</v>
      </c>
      <c r="D19" s="2" t="s">
        <v>11</v>
      </c>
      <c r="E19" s="2" t="s">
        <v>12</v>
      </c>
      <c r="F19" s="6">
        <v>74829</v>
      </c>
      <c r="G19" s="2">
        <v>9249</v>
      </c>
      <c r="H19" s="2">
        <v>9</v>
      </c>
      <c r="I19" s="14">
        <f t="shared" si="0"/>
        <v>84078</v>
      </c>
      <c r="J19" s="26" t="str">
        <f t="shared" si="1"/>
        <v>high</v>
      </c>
      <c r="K19" s="2" t="str">
        <f t="shared" si="2"/>
        <v>5000</v>
      </c>
      <c r="M19" s="27" t="str">
        <v>HR</v>
      </c>
      <c r="N19" s="27">
        <f>COUNTIF(D:D,"HR")</f>
        <v>50</v>
      </c>
    </row>
    <row r="20" spans="2:14" x14ac:dyDescent="0.3">
      <c r="B20" s="2">
        <v>1019</v>
      </c>
      <c r="C20" s="2" t="s">
        <v>10</v>
      </c>
      <c r="D20" s="2" t="s">
        <v>11</v>
      </c>
      <c r="E20" s="2" t="s">
        <v>9</v>
      </c>
      <c r="F20" s="6">
        <v>37095</v>
      </c>
      <c r="G20" s="2">
        <v>4694</v>
      </c>
      <c r="H20" s="2">
        <v>9</v>
      </c>
      <c r="I20" s="14">
        <f t="shared" si="0"/>
        <v>41789</v>
      </c>
      <c r="J20" s="26" t="str">
        <f t="shared" si="1"/>
        <v>low</v>
      </c>
      <c r="K20" s="2" t="str">
        <f t="shared" si="2"/>
        <v>5000</v>
      </c>
      <c r="M20" s="27" t="str">
        <v>Sales</v>
      </c>
      <c r="N20" s="27">
        <f>COUNTIF(D:D, "Sales")</f>
        <v>59</v>
      </c>
    </row>
    <row r="21" spans="2:14" x14ac:dyDescent="0.3">
      <c r="B21" s="2">
        <v>1020</v>
      </c>
      <c r="C21" s="2" t="s">
        <v>13</v>
      </c>
      <c r="D21" s="2" t="s">
        <v>14</v>
      </c>
      <c r="E21" s="2" t="s">
        <v>15</v>
      </c>
      <c r="F21" s="6">
        <v>57259</v>
      </c>
      <c r="G21" s="2">
        <v>4414</v>
      </c>
      <c r="H21" s="2">
        <v>1</v>
      </c>
      <c r="I21" s="14">
        <f t="shared" si="0"/>
        <v>61673</v>
      </c>
      <c r="J21" s="26" t="str">
        <f t="shared" si="1"/>
        <v>high</v>
      </c>
      <c r="K21" s="2" t="str">
        <f t="shared" si="2"/>
        <v>2000</v>
      </c>
    </row>
    <row r="22" spans="2:14" x14ac:dyDescent="0.3">
      <c r="B22" s="2">
        <v>1021</v>
      </c>
      <c r="C22" s="2" t="s">
        <v>23</v>
      </c>
      <c r="D22" s="2" t="s">
        <v>19</v>
      </c>
      <c r="E22" s="2" t="s">
        <v>15</v>
      </c>
      <c r="F22" s="6">
        <v>72209</v>
      </c>
      <c r="G22" s="2">
        <v>4448</v>
      </c>
      <c r="H22" s="2">
        <v>9</v>
      </c>
      <c r="I22" s="14">
        <f t="shared" si="0"/>
        <v>76657</v>
      </c>
      <c r="J22" s="26" t="str">
        <f t="shared" si="1"/>
        <v>high</v>
      </c>
      <c r="K22" s="2" t="str">
        <f t="shared" si="2"/>
        <v>5000</v>
      </c>
    </row>
    <row r="23" spans="2:14" x14ac:dyDescent="0.3">
      <c r="B23" s="2">
        <v>1022</v>
      </c>
      <c r="C23" s="2" t="s">
        <v>16</v>
      </c>
      <c r="D23" s="2" t="s">
        <v>19</v>
      </c>
      <c r="E23" s="2" t="s">
        <v>15</v>
      </c>
      <c r="F23" s="6">
        <v>38806</v>
      </c>
      <c r="G23" s="2">
        <v>9151</v>
      </c>
      <c r="H23" s="2">
        <v>9</v>
      </c>
      <c r="I23" s="14">
        <f t="shared" si="0"/>
        <v>47957</v>
      </c>
      <c r="J23" s="26" t="str">
        <f t="shared" si="1"/>
        <v>low</v>
      </c>
      <c r="K23" s="2" t="str">
        <f t="shared" si="2"/>
        <v>5000</v>
      </c>
    </row>
    <row r="24" spans="2:14" x14ac:dyDescent="0.3">
      <c r="B24" s="2">
        <v>1023</v>
      </c>
      <c r="C24" s="2" t="s">
        <v>20</v>
      </c>
      <c r="D24" s="2" t="s">
        <v>8</v>
      </c>
      <c r="E24" s="2" t="s">
        <v>15</v>
      </c>
      <c r="F24" s="6">
        <v>54451</v>
      </c>
      <c r="G24" s="2">
        <v>8106</v>
      </c>
      <c r="H24" s="2">
        <v>4</v>
      </c>
      <c r="I24" s="14">
        <f t="shared" si="0"/>
        <v>62557</v>
      </c>
      <c r="J24" s="26" t="str">
        <f t="shared" si="1"/>
        <v>high</v>
      </c>
      <c r="K24" s="2" t="str">
        <f t="shared" si="2"/>
        <v>2000</v>
      </c>
    </row>
    <row r="25" spans="2:14" x14ac:dyDescent="0.3">
      <c r="B25" s="2">
        <v>1024</v>
      </c>
      <c r="C25" s="2" t="s">
        <v>7</v>
      </c>
      <c r="D25" s="2" t="s">
        <v>8</v>
      </c>
      <c r="E25" s="2" t="s">
        <v>9</v>
      </c>
      <c r="F25" s="6">
        <v>20303</v>
      </c>
      <c r="G25" s="2">
        <v>6264</v>
      </c>
      <c r="H25" s="2">
        <v>4</v>
      </c>
      <c r="I25" s="14">
        <f t="shared" si="0"/>
        <v>26567</v>
      </c>
      <c r="J25" s="26" t="str">
        <f t="shared" si="1"/>
        <v>low</v>
      </c>
      <c r="K25" s="2" t="str">
        <f t="shared" si="2"/>
        <v>2000</v>
      </c>
    </row>
    <row r="26" spans="2:14" x14ac:dyDescent="0.3">
      <c r="B26" s="2">
        <v>1025</v>
      </c>
      <c r="C26" s="2" t="s">
        <v>27</v>
      </c>
      <c r="D26" s="2" t="s">
        <v>19</v>
      </c>
      <c r="E26" s="2" t="s">
        <v>9</v>
      </c>
      <c r="F26" s="6">
        <v>79600</v>
      </c>
      <c r="G26" s="2">
        <v>4813</v>
      </c>
      <c r="H26" s="2">
        <v>7</v>
      </c>
      <c r="I26" s="14">
        <f t="shared" si="0"/>
        <v>84413</v>
      </c>
      <c r="J26" s="26" t="str">
        <f t="shared" si="1"/>
        <v>high</v>
      </c>
      <c r="K26" s="2" t="str">
        <f t="shared" si="2"/>
        <v>5000</v>
      </c>
    </row>
    <row r="27" spans="2:14" x14ac:dyDescent="0.3">
      <c r="B27" s="2">
        <v>1026</v>
      </c>
      <c r="C27" s="2" t="s">
        <v>20</v>
      </c>
      <c r="D27" s="2" t="s">
        <v>19</v>
      </c>
      <c r="E27" s="2" t="s">
        <v>12</v>
      </c>
      <c r="F27" s="6">
        <v>75805</v>
      </c>
      <c r="G27" s="2">
        <v>6871</v>
      </c>
      <c r="H27" s="2">
        <v>8</v>
      </c>
      <c r="I27" s="14">
        <f t="shared" si="0"/>
        <v>82676</v>
      </c>
      <c r="J27" s="26" t="str">
        <f t="shared" si="1"/>
        <v>high</v>
      </c>
      <c r="K27" s="2" t="str">
        <f t="shared" si="2"/>
        <v>5000</v>
      </c>
    </row>
    <row r="28" spans="2:14" x14ac:dyDescent="0.3">
      <c r="B28" s="2">
        <v>1027</v>
      </c>
      <c r="C28" s="2" t="s">
        <v>18</v>
      </c>
      <c r="D28" s="2" t="s">
        <v>14</v>
      </c>
      <c r="E28" s="2" t="s">
        <v>9</v>
      </c>
      <c r="F28" s="6">
        <v>22801</v>
      </c>
      <c r="G28" s="2">
        <v>1462</v>
      </c>
      <c r="H28" s="2">
        <v>10</v>
      </c>
      <c r="I28" s="14">
        <f t="shared" si="0"/>
        <v>24263</v>
      </c>
      <c r="J28" s="26" t="str">
        <f t="shared" si="1"/>
        <v>low</v>
      </c>
      <c r="K28" s="2" t="str">
        <f t="shared" si="2"/>
        <v>5000</v>
      </c>
    </row>
    <row r="29" spans="2:14" x14ac:dyDescent="0.3">
      <c r="B29" s="2">
        <v>1028</v>
      </c>
      <c r="C29" s="2" t="s">
        <v>28</v>
      </c>
      <c r="D29" s="2" t="s">
        <v>19</v>
      </c>
      <c r="E29" s="2" t="s">
        <v>21</v>
      </c>
      <c r="F29" s="6">
        <v>54435</v>
      </c>
      <c r="G29" s="2">
        <v>5063</v>
      </c>
      <c r="H29" s="2">
        <v>6</v>
      </c>
      <c r="I29" s="14">
        <f t="shared" si="0"/>
        <v>59498</v>
      </c>
      <c r="J29" s="26" t="str">
        <f t="shared" si="1"/>
        <v>high</v>
      </c>
      <c r="K29" s="2" t="str">
        <f t="shared" si="2"/>
        <v>5000</v>
      </c>
    </row>
    <row r="30" spans="2:14" x14ac:dyDescent="0.3">
      <c r="B30" s="2">
        <v>1029</v>
      </c>
      <c r="C30" s="2" t="s">
        <v>29</v>
      </c>
      <c r="D30" s="2" t="s">
        <v>11</v>
      </c>
      <c r="E30" s="2" t="s">
        <v>21</v>
      </c>
      <c r="F30" s="6">
        <v>77655</v>
      </c>
      <c r="G30" s="2">
        <v>3552</v>
      </c>
      <c r="H30" s="2">
        <v>7</v>
      </c>
      <c r="I30" s="14">
        <f t="shared" si="0"/>
        <v>81207</v>
      </c>
      <c r="J30" s="26" t="str">
        <f t="shared" si="1"/>
        <v>high</v>
      </c>
      <c r="K30" s="2" t="str">
        <f t="shared" si="2"/>
        <v>5000</v>
      </c>
    </row>
    <row r="31" spans="2:14" x14ac:dyDescent="0.3">
      <c r="B31" s="2">
        <v>1030</v>
      </c>
      <c r="C31" s="2" t="s">
        <v>26</v>
      </c>
      <c r="D31" s="2" t="s">
        <v>19</v>
      </c>
      <c r="E31" s="2" t="s">
        <v>21</v>
      </c>
      <c r="F31" s="6">
        <v>61880</v>
      </c>
      <c r="G31" s="2">
        <v>1131</v>
      </c>
      <c r="H31" s="2">
        <v>8</v>
      </c>
      <c r="I31" s="14">
        <f t="shared" si="0"/>
        <v>63011</v>
      </c>
      <c r="J31" s="26" t="str">
        <f t="shared" si="1"/>
        <v>high</v>
      </c>
      <c r="K31" s="2" t="str">
        <f t="shared" si="2"/>
        <v>5000</v>
      </c>
    </row>
    <row r="32" spans="2:14" x14ac:dyDescent="0.3">
      <c r="B32" s="2">
        <v>1031</v>
      </c>
      <c r="C32" s="2" t="s">
        <v>28</v>
      </c>
      <c r="D32" s="2" t="s">
        <v>19</v>
      </c>
      <c r="E32" s="2" t="s">
        <v>21</v>
      </c>
      <c r="F32" s="6">
        <v>61681</v>
      </c>
      <c r="G32" s="2">
        <v>2759</v>
      </c>
      <c r="H32" s="2">
        <v>4</v>
      </c>
      <c r="I32" s="14">
        <f t="shared" si="0"/>
        <v>64440</v>
      </c>
      <c r="J32" s="26" t="str">
        <f t="shared" si="1"/>
        <v>high</v>
      </c>
      <c r="K32" s="2" t="str">
        <f t="shared" si="2"/>
        <v>2000</v>
      </c>
    </row>
    <row r="33" spans="2:11" x14ac:dyDescent="0.3">
      <c r="B33" s="2">
        <v>1032</v>
      </c>
      <c r="C33" s="2" t="s">
        <v>27</v>
      </c>
      <c r="D33" s="2" t="s">
        <v>19</v>
      </c>
      <c r="E33" s="2" t="s">
        <v>9</v>
      </c>
      <c r="F33" s="6">
        <v>65308</v>
      </c>
      <c r="G33" s="2">
        <v>4849</v>
      </c>
      <c r="H33" s="2">
        <v>10</v>
      </c>
      <c r="I33" s="14">
        <f t="shared" si="0"/>
        <v>70157</v>
      </c>
      <c r="J33" s="26" t="str">
        <f t="shared" si="1"/>
        <v>high</v>
      </c>
      <c r="K33" s="2" t="str">
        <f t="shared" si="2"/>
        <v>5000</v>
      </c>
    </row>
    <row r="34" spans="2:11" x14ac:dyDescent="0.3">
      <c r="B34" s="2">
        <v>1033</v>
      </c>
      <c r="C34" s="2" t="s">
        <v>23</v>
      </c>
      <c r="D34" s="2" t="s">
        <v>19</v>
      </c>
      <c r="E34" s="2" t="s">
        <v>21</v>
      </c>
      <c r="F34" s="6">
        <v>73630</v>
      </c>
      <c r="G34" s="2">
        <v>2677</v>
      </c>
      <c r="H34" s="2">
        <v>7</v>
      </c>
      <c r="I34" s="14">
        <f t="shared" si="0"/>
        <v>76307</v>
      </c>
      <c r="J34" s="26" t="str">
        <f t="shared" si="1"/>
        <v>high</v>
      </c>
      <c r="K34" s="2" t="str">
        <f t="shared" si="2"/>
        <v>5000</v>
      </c>
    </row>
    <row r="35" spans="2:11" x14ac:dyDescent="0.3">
      <c r="B35" s="2">
        <v>1034</v>
      </c>
      <c r="C35" s="2" t="s">
        <v>27</v>
      </c>
      <c r="D35" s="2" t="s">
        <v>14</v>
      </c>
      <c r="E35" s="2" t="s">
        <v>15</v>
      </c>
      <c r="F35" s="6">
        <v>72125</v>
      </c>
      <c r="G35" s="2">
        <v>5374</v>
      </c>
      <c r="H35" s="2">
        <v>10</v>
      </c>
      <c r="I35" s="14">
        <f t="shared" si="0"/>
        <v>77499</v>
      </c>
      <c r="J35" s="26" t="str">
        <f t="shared" si="1"/>
        <v>high</v>
      </c>
      <c r="K35" s="2" t="str">
        <f t="shared" si="2"/>
        <v>5000</v>
      </c>
    </row>
    <row r="36" spans="2:11" x14ac:dyDescent="0.3">
      <c r="B36" s="2">
        <v>1035</v>
      </c>
      <c r="C36" s="2" t="s">
        <v>16</v>
      </c>
      <c r="D36" s="2" t="s">
        <v>19</v>
      </c>
      <c r="E36" s="2" t="s">
        <v>9</v>
      </c>
      <c r="F36" s="6">
        <v>60544</v>
      </c>
      <c r="G36" s="2">
        <v>7787</v>
      </c>
      <c r="H36" s="2">
        <v>8</v>
      </c>
      <c r="I36" s="14">
        <f t="shared" si="0"/>
        <v>68331</v>
      </c>
      <c r="J36" s="26" t="str">
        <f t="shared" si="1"/>
        <v>high</v>
      </c>
      <c r="K36" s="2" t="str">
        <f t="shared" si="2"/>
        <v>5000</v>
      </c>
    </row>
    <row r="37" spans="2:11" x14ac:dyDescent="0.3">
      <c r="B37" s="2">
        <v>1036</v>
      </c>
      <c r="C37" s="2" t="s">
        <v>23</v>
      </c>
      <c r="D37" s="2" t="s">
        <v>19</v>
      </c>
      <c r="E37" s="2" t="s">
        <v>15</v>
      </c>
      <c r="F37" s="6">
        <v>59688</v>
      </c>
      <c r="G37" s="2">
        <v>3028</v>
      </c>
      <c r="H37" s="2">
        <v>10</v>
      </c>
      <c r="I37" s="14">
        <f t="shared" si="0"/>
        <v>62716</v>
      </c>
      <c r="J37" s="26" t="str">
        <f t="shared" si="1"/>
        <v>high</v>
      </c>
      <c r="K37" s="2" t="str">
        <f t="shared" si="2"/>
        <v>5000</v>
      </c>
    </row>
    <row r="38" spans="2:11" x14ac:dyDescent="0.3">
      <c r="B38" s="2">
        <v>1037</v>
      </c>
      <c r="C38" s="2" t="s">
        <v>20</v>
      </c>
      <c r="D38" s="2" t="s">
        <v>8</v>
      </c>
      <c r="E38" s="2" t="s">
        <v>9</v>
      </c>
      <c r="F38" s="6">
        <v>66548</v>
      </c>
      <c r="G38" s="2">
        <v>9254</v>
      </c>
      <c r="H38" s="2">
        <v>6</v>
      </c>
      <c r="I38" s="14">
        <f t="shared" si="0"/>
        <v>75802</v>
      </c>
      <c r="J38" s="26" t="str">
        <f t="shared" si="1"/>
        <v>high</v>
      </c>
      <c r="K38" s="2" t="str">
        <f t="shared" si="2"/>
        <v>5000</v>
      </c>
    </row>
    <row r="39" spans="2:11" x14ac:dyDescent="0.3">
      <c r="B39" s="2">
        <v>1038</v>
      </c>
      <c r="C39" s="2" t="s">
        <v>25</v>
      </c>
      <c r="D39" s="2" t="s">
        <v>11</v>
      </c>
      <c r="E39" s="2" t="s">
        <v>21</v>
      </c>
      <c r="F39" s="6">
        <v>63661</v>
      </c>
      <c r="G39" s="2">
        <v>4084</v>
      </c>
      <c r="H39" s="2">
        <v>7</v>
      </c>
      <c r="I39" s="14">
        <f t="shared" si="0"/>
        <v>67745</v>
      </c>
      <c r="J39" s="26" t="str">
        <f t="shared" si="1"/>
        <v>high</v>
      </c>
      <c r="K39" s="2" t="str">
        <f t="shared" si="2"/>
        <v>5000</v>
      </c>
    </row>
    <row r="40" spans="2:11" x14ac:dyDescent="0.3">
      <c r="B40" s="2">
        <v>1039</v>
      </c>
      <c r="C40" s="2" t="s">
        <v>10</v>
      </c>
      <c r="D40" s="2" t="s">
        <v>14</v>
      </c>
      <c r="E40" s="2" t="s">
        <v>12</v>
      </c>
      <c r="F40" s="6">
        <v>22824</v>
      </c>
      <c r="G40" s="2">
        <v>1476</v>
      </c>
      <c r="H40" s="2">
        <v>1</v>
      </c>
      <c r="I40" s="14">
        <f t="shared" si="0"/>
        <v>24300</v>
      </c>
      <c r="J40" s="26" t="str">
        <f t="shared" si="1"/>
        <v>low</v>
      </c>
      <c r="K40" s="2" t="str">
        <f t="shared" si="2"/>
        <v>2000</v>
      </c>
    </row>
    <row r="41" spans="2:11" x14ac:dyDescent="0.3">
      <c r="B41" s="2">
        <v>1040</v>
      </c>
      <c r="C41" s="2" t="s">
        <v>29</v>
      </c>
      <c r="D41" s="2" t="s">
        <v>14</v>
      </c>
      <c r="E41" s="2" t="s">
        <v>15</v>
      </c>
      <c r="F41" s="6">
        <v>33132</v>
      </c>
      <c r="G41" s="2">
        <v>8684</v>
      </c>
      <c r="H41" s="2">
        <v>9</v>
      </c>
      <c r="I41" s="14">
        <f t="shared" si="0"/>
        <v>41816</v>
      </c>
      <c r="J41" s="26" t="str">
        <f t="shared" si="1"/>
        <v>low</v>
      </c>
      <c r="K41" s="2" t="str">
        <f t="shared" si="2"/>
        <v>5000</v>
      </c>
    </row>
    <row r="42" spans="2:11" x14ac:dyDescent="0.3">
      <c r="B42" s="2">
        <v>1041</v>
      </c>
      <c r="C42" s="2" t="s">
        <v>10</v>
      </c>
      <c r="D42" s="2" t="s">
        <v>8</v>
      </c>
      <c r="E42" s="2" t="s">
        <v>15</v>
      </c>
      <c r="F42" s="6">
        <v>26847</v>
      </c>
      <c r="G42" s="2">
        <v>8491</v>
      </c>
      <c r="H42" s="2">
        <v>2</v>
      </c>
      <c r="I42" s="14">
        <f t="shared" si="0"/>
        <v>35338</v>
      </c>
      <c r="J42" s="26" t="str">
        <f t="shared" si="1"/>
        <v>low</v>
      </c>
      <c r="K42" s="2" t="str">
        <f t="shared" si="2"/>
        <v>2000</v>
      </c>
    </row>
    <row r="43" spans="2:11" x14ac:dyDescent="0.3">
      <c r="B43" s="2">
        <v>1042</v>
      </c>
      <c r="C43" s="2" t="s">
        <v>24</v>
      </c>
      <c r="D43" s="2" t="s">
        <v>8</v>
      </c>
      <c r="E43" s="2" t="s">
        <v>9</v>
      </c>
      <c r="F43" s="6">
        <v>28228</v>
      </c>
      <c r="G43" s="2">
        <v>2823</v>
      </c>
      <c r="H43" s="2">
        <v>2</v>
      </c>
      <c r="I43" s="14">
        <f t="shared" si="0"/>
        <v>31051</v>
      </c>
      <c r="J43" s="26" t="str">
        <f t="shared" si="1"/>
        <v>low</v>
      </c>
      <c r="K43" s="2" t="str">
        <f t="shared" si="2"/>
        <v>2000</v>
      </c>
    </row>
    <row r="44" spans="2:11" x14ac:dyDescent="0.3">
      <c r="B44" s="2">
        <v>1043</v>
      </c>
      <c r="C44" s="2" t="s">
        <v>22</v>
      </c>
      <c r="D44" s="2" t="s">
        <v>8</v>
      </c>
      <c r="E44" s="2" t="s">
        <v>21</v>
      </c>
      <c r="F44" s="6">
        <v>58429</v>
      </c>
      <c r="G44" s="2">
        <v>5256</v>
      </c>
      <c r="H44" s="2">
        <v>5</v>
      </c>
      <c r="I44" s="14">
        <f t="shared" si="0"/>
        <v>63685</v>
      </c>
      <c r="J44" s="26" t="str">
        <f t="shared" si="1"/>
        <v>high</v>
      </c>
      <c r="K44" s="2" t="str">
        <f t="shared" si="2"/>
        <v>2000</v>
      </c>
    </row>
    <row r="45" spans="2:11" x14ac:dyDescent="0.3">
      <c r="B45" s="2">
        <v>1044</v>
      </c>
      <c r="C45" s="2" t="s">
        <v>13</v>
      </c>
      <c r="D45" s="2" t="s">
        <v>19</v>
      </c>
      <c r="E45" s="2" t="s">
        <v>12</v>
      </c>
      <c r="F45" s="6">
        <v>51774</v>
      </c>
      <c r="G45" s="2">
        <v>2774</v>
      </c>
      <c r="H45" s="2">
        <v>8</v>
      </c>
      <c r="I45" s="14">
        <f t="shared" si="0"/>
        <v>54548</v>
      </c>
      <c r="J45" s="26" t="str">
        <f t="shared" si="1"/>
        <v>high</v>
      </c>
      <c r="K45" s="2" t="str">
        <f t="shared" si="2"/>
        <v>5000</v>
      </c>
    </row>
    <row r="46" spans="2:11" x14ac:dyDescent="0.3">
      <c r="B46" s="2">
        <v>1045</v>
      </c>
      <c r="C46" s="2" t="s">
        <v>27</v>
      </c>
      <c r="D46" s="2" t="s">
        <v>19</v>
      </c>
      <c r="E46" s="2" t="s">
        <v>15</v>
      </c>
      <c r="F46" s="6">
        <v>52101</v>
      </c>
      <c r="G46" s="2">
        <v>4256</v>
      </c>
      <c r="H46" s="2">
        <v>9</v>
      </c>
      <c r="I46" s="14">
        <f t="shared" si="0"/>
        <v>56357</v>
      </c>
      <c r="J46" s="26" t="str">
        <f t="shared" si="1"/>
        <v>high</v>
      </c>
      <c r="K46" s="2" t="str">
        <f t="shared" si="2"/>
        <v>5000</v>
      </c>
    </row>
    <row r="47" spans="2:11" x14ac:dyDescent="0.3">
      <c r="B47" s="2">
        <v>1046</v>
      </c>
      <c r="C47" s="2" t="s">
        <v>18</v>
      </c>
      <c r="D47" s="2" t="s">
        <v>8</v>
      </c>
      <c r="E47" s="2" t="s">
        <v>12</v>
      </c>
      <c r="F47" s="6">
        <v>51907</v>
      </c>
      <c r="G47" s="2">
        <v>9757</v>
      </c>
      <c r="H47" s="2">
        <v>8</v>
      </c>
      <c r="I47" s="14">
        <f t="shared" si="0"/>
        <v>61664</v>
      </c>
      <c r="J47" s="26" t="str">
        <f t="shared" si="1"/>
        <v>high</v>
      </c>
      <c r="K47" s="2" t="str">
        <f t="shared" si="2"/>
        <v>5000</v>
      </c>
    </row>
    <row r="48" spans="2:11" x14ac:dyDescent="0.3">
      <c r="B48" s="2">
        <v>1047</v>
      </c>
      <c r="C48" s="2" t="s">
        <v>30</v>
      </c>
      <c r="D48" s="2" t="s">
        <v>8</v>
      </c>
      <c r="E48" s="2" t="s">
        <v>15</v>
      </c>
      <c r="F48" s="6">
        <v>71323</v>
      </c>
      <c r="G48" s="2">
        <v>3679</v>
      </c>
      <c r="H48" s="2">
        <v>5</v>
      </c>
      <c r="I48" s="14">
        <f t="shared" si="0"/>
        <v>75002</v>
      </c>
      <c r="J48" s="26" t="str">
        <f t="shared" si="1"/>
        <v>high</v>
      </c>
      <c r="K48" s="2" t="str">
        <f t="shared" si="2"/>
        <v>2000</v>
      </c>
    </row>
    <row r="49" spans="2:11" x14ac:dyDescent="0.3">
      <c r="B49" s="2">
        <v>1048</v>
      </c>
      <c r="C49" s="2" t="s">
        <v>26</v>
      </c>
      <c r="D49" s="2" t="s">
        <v>19</v>
      </c>
      <c r="E49" s="2" t="s">
        <v>21</v>
      </c>
      <c r="F49" s="6">
        <v>27400</v>
      </c>
      <c r="G49" s="2">
        <v>8374</v>
      </c>
      <c r="H49" s="2">
        <v>1</v>
      </c>
      <c r="I49" s="14">
        <f t="shared" si="0"/>
        <v>35774</v>
      </c>
      <c r="J49" s="26" t="str">
        <f t="shared" si="1"/>
        <v>low</v>
      </c>
      <c r="K49" s="2" t="str">
        <f t="shared" si="2"/>
        <v>2000</v>
      </c>
    </row>
    <row r="50" spans="2:11" x14ac:dyDescent="0.3">
      <c r="B50" s="2">
        <v>1049</v>
      </c>
      <c r="C50" s="2" t="s">
        <v>22</v>
      </c>
      <c r="D50" s="2" t="s">
        <v>14</v>
      </c>
      <c r="E50" s="2" t="s">
        <v>15</v>
      </c>
      <c r="F50" s="6">
        <v>58265</v>
      </c>
      <c r="G50" s="2">
        <v>7588</v>
      </c>
      <c r="H50" s="2">
        <v>9</v>
      </c>
      <c r="I50" s="14">
        <f t="shared" si="0"/>
        <v>65853</v>
      </c>
      <c r="J50" s="26" t="str">
        <f t="shared" si="1"/>
        <v>high</v>
      </c>
      <c r="K50" s="2" t="str">
        <f t="shared" si="2"/>
        <v>5000</v>
      </c>
    </row>
    <row r="51" spans="2:11" x14ac:dyDescent="0.3">
      <c r="B51" s="2">
        <v>1050</v>
      </c>
      <c r="C51" s="2" t="s">
        <v>31</v>
      </c>
      <c r="D51" s="2" t="s">
        <v>8</v>
      </c>
      <c r="E51" s="2" t="s">
        <v>15</v>
      </c>
      <c r="F51" s="6">
        <v>33269</v>
      </c>
      <c r="G51" s="2">
        <v>5636</v>
      </c>
      <c r="H51" s="2">
        <v>3</v>
      </c>
      <c r="I51" s="14">
        <f t="shared" si="0"/>
        <v>38905</v>
      </c>
      <c r="J51" s="26" t="str">
        <f t="shared" si="1"/>
        <v>low</v>
      </c>
      <c r="K51" s="2" t="str">
        <f t="shared" si="2"/>
        <v>2000</v>
      </c>
    </row>
    <row r="52" spans="2:11" x14ac:dyDescent="0.3">
      <c r="B52" s="2">
        <v>1051</v>
      </c>
      <c r="C52" s="2" t="s">
        <v>22</v>
      </c>
      <c r="D52" s="2" t="s">
        <v>11</v>
      </c>
      <c r="E52" s="2" t="s">
        <v>21</v>
      </c>
      <c r="F52" s="6">
        <v>21766</v>
      </c>
      <c r="G52" s="2">
        <v>3144</v>
      </c>
      <c r="H52" s="2">
        <v>4</v>
      </c>
      <c r="I52" s="14">
        <f t="shared" si="0"/>
        <v>24910</v>
      </c>
      <c r="J52" s="26" t="str">
        <f t="shared" si="1"/>
        <v>low</v>
      </c>
      <c r="K52" s="2" t="str">
        <f t="shared" si="2"/>
        <v>2000</v>
      </c>
    </row>
    <row r="53" spans="2:11" x14ac:dyDescent="0.3">
      <c r="B53" s="2">
        <v>1052</v>
      </c>
      <c r="C53" s="2" t="s">
        <v>13</v>
      </c>
      <c r="D53" s="2" t="s">
        <v>14</v>
      </c>
      <c r="E53" s="2" t="s">
        <v>12</v>
      </c>
      <c r="F53" s="6">
        <v>74489</v>
      </c>
      <c r="G53" s="2">
        <v>4055</v>
      </c>
      <c r="H53" s="2">
        <v>1</v>
      </c>
      <c r="I53" s="14">
        <f t="shared" si="0"/>
        <v>78544</v>
      </c>
      <c r="J53" s="26" t="str">
        <f t="shared" si="1"/>
        <v>high</v>
      </c>
      <c r="K53" s="2" t="str">
        <f t="shared" si="2"/>
        <v>2000</v>
      </c>
    </row>
    <row r="54" spans="2:11" x14ac:dyDescent="0.3">
      <c r="B54" s="2">
        <v>1053</v>
      </c>
      <c r="C54" s="2" t="s">
        <v>30</v>
      </c>
      <c r="D54" s="2" t="s">
        <v>19</v>
      </c>
      <c r="E54" s="2" t="s">
        <v>21</v>
      </c>
      <c r="F54" s="6">
        <v>27248</v>
      </c>
      <c r="G54" s="2">
        <v>7369</v>
      </c>
      <c r="H54" s="2">
        <v>5</v>
      </c>
      <c r="I54" s="14">
        <f t="shared" si="0"/>
        <v>34617</v>
      </c>
      <c r="J54" s="26" t="str">
        <f t="shared" si="1"/>
        <v>low</v>
      </c>
      <c r="K54" s="2" t="str">
        <f t="shared" si="2"/>
        <v>2000</v>
      </c>
    </row>
    <row r="55" spans="2:11" x14ac:dyDescent="0.3">
      <c r="B55" s="2">
        <v>1054</v>
      </c>
      <c r="C55" s="2" t="s">
        <v>32</v>
      </c>
      <c r="D55" s="2" t="s">
        <v>8</v>
      </c>
      <c r="E55" s="2" t="s">
        <v>15</v>
      </c>
      <c r="F55" s="6">
        <v>70703</v>
      </c>
      <c r="G55" s="2">
        <v>5796</v>
      </c>
      <c r="H55" s="2">
        <v>8</v>
      </c>
      <c r="I55" s="14">
        <f t="shared" si="0"/>
        <v>76499</v>
      </c>
      <c r="J55" s="26" t="str">
        <f t="shared" si="1"/>
        <v>high</v>
      </c>
      <c r="K55" s="2" t="str">
        <f t="shared" si="2"/>
        <v>5000</v>
      </c>
    </row>
    <row r="56" spans="2:11" x14ac:dyDescent="0.3">
      <c r="B56" s="2">
        <v>1055</v>
      </c>
      <c r="C56" s="2" t="s">
        <v>28</v>
      </c>
      <c r="D56" s="2" t="s">
        <v>11</v>
      </c>
      <c r="E56" s="2" t="s">
        <v>9</v>
      </c>
      <c r="F56" s="6">
        <v>53725</v>
      </c>
      <c r="G56" s="2">
        <v>3478</v>
      </c>
      <c r="H56" s="2">
        <v>1</v>
      </c>
      <c r="I56" s="14">
        <f t="shared" si="0"/>
        <v>57203</v>
      </c>
      <c r="J56" s="26" t="str">
        <f t="shared" si="1"/>
        <v>high</v>
      </c>
      <c r="K56" s="2" t="str">
        <f t="shared" si="2"/>
        <v>2000</v>
      </c>
    </row>
    <row r="57" spans="2:11" x14ac:dyDescent="0.3">
      <c r="B57" s="2">
        <v>1056</v>
      </c>
      <c r="C57" s="2" t="s">
        <v>18</v>
      </c>
      <c r="D57" s="2" t="s">
        <v>19</v>
      </c>
      <c r="E57" s="2" t="s">
        <v>15</v>
      </c>
      <c r="F57" s="6">
        <v>31273</v>
      </c>
      <c r="G57" s="2">
        <v>7614</v>
      </c>
      <c r="H57" s="2">
        <v>5</v>
      </c>
      <c r="I57" s="14">
        <f t="shared" si="0"/>
        <v>38887</v>
      </c>
      <c r="J57" s="26" t="str">
        <f t="shared" si="1"/>
        <v>low</v>
      </c>
      <c r="K57" s="2" t="str">
        <f t="shared" si="2"/>
        <v>2000</v>
      </c>
    </row>
    <row r="58" spans="2:11" x14ac:dyDescent="0.3">
      <c r="B58" s="2">
        <v>1057</v>
      </c>
      <c r="C58" s="2" t="s">
        <v>7</v>
      </c>
      <c r="D58" s="2" t="s">
        <v>19</v>
      </c>
      <c r="E58" s="2" t="s">
        <v>9</v>
      </c>
      <c r="F58" s="6">
        <v>38884</v>
      </c>
      <c r="G58" s="2">
        <v>8365</v>
      </c>
      <c r="H58" s="2">
        <v>6</v>
      </c>
      <c r="I58" s="14">
        <f t="shared" si="0"/>
        <v>47249</v>
      </c>
      <c r="J58" s="26" t="str">
        <f t="shared" si="1"/>
        <v>low</v>
      </c>
      <c r="K58" s="2" t="str">
        <f t="shared" si="2"/>
        <v>5000</v>
      </c>
    </row>
    <row r="59" spans="2:11" x14ac:dyDescent="0.3">
      <c r="B59" s="2">
        <v>1058</v>
      </c>
      <c r="C59" s="2" t="s">
        <v>26</v>
      </c>
      <c r="D59" s="2" t="s">
        <v>8</v>
      </c>
      <c r="E59" s="2" t="s">
        <v>21</v>
      </c>
      <c r="F59" s="6">
        <v>39456</v>
      </c>
      <c r="G59" s="2">
        <v>2415</v>
      </c>
      <c r="H59" s="2">
        <v>7</v>
      </c>
      <c r="I59" s="14">
        <f t="shared" si="0"/>
        <v>41871</v>
      </c>
      <c r="J59" s="26" t="str">
        <f t="shared" si="1"/>
        <v>low</v>
      </c>
      <c r="K59" s="2" t="str">
        <f t="shared" si="2"/>
        <v>5000</v>
      </c>
    </row>
    <row r="60" spans="2:11" x14ac:dyDescent="0.3">
      <c r="B60" s="2">
        <v>1059</v>
      </c>
      <c r="C60" s="2" t="s">
        <v>20</v>
      </c>
      <c r="D60" s="2" t="s">
        <v>19</v>
      </c>
      <c r="E60" s="2" t="s">
        <v>21</v>
      </c>
      <c r="F60" s="6">
        <v>75599</v>
      </c>
      <c r="G60" s="2">
        <v>3080</v>
      </c>
      <c r="H60" s="2">
        <v>6</v>
      </c>
      <c r="I60" s="14">
        <f t="shared" si="0"/>
        <v>78679</v>
      </c>
      <c r="J60" s="26" t="str">
        <f t="shared" si="1"/>
        <v>high</v>
      </c>
      <c r="K60" s="2" t="str">
        <f t="shared" si="2"/>
        <v>5000</v>
      </c>
    </row>
    <row r="61" spans="2:11" x14ac:dyDescent="0.3">
      <c r="B61" s="2">
        <v>1060</v>
      </c>
      <c r="C61" s="2" t="s">
        <v>27</v>
      </c>
      <c r="D61" s="2" t="s">
        <v>19</v>
      </c>
      <c r="E61" s="2" t="s">
        <v>21</v>
      </c>
      <c r="F61" s="6">
        <v>21371</v>
      </c>
      <c r="G61" s="2">
        <v>7106</v>
      </c>
      <c r="H61" s="2">
        <v>2</v>
      </c>
      <c r="I61" s="14">
        <f t="shared" si="0"/>
        <v>28477</v>
      </c>
      <c r="J61" s="26" t="str">
        <f t="shared" si="1"/>
        <v>low</v>
      </c>
      <c r="K61" s="2" t="str">
        <f t="shared" si="2"/>
        <v>2000</v>
      </c>
    </row>
    <row r="62" spans="2:11" x14ac:dyDescent="0.3">
      <c r="B62" s="2">
        <v>1061</v>
      </c>
      <c r="C62" s="2" t="s">
        <v>26</v>
      </c>
      <c r="D62" s="2" t="s">
        <v>8</v>
      </c>
      <c r="E62" s="2" t="s">
        <v>9</v>
      </c>
      <c r="F62" s="6">
        <v>30824</v>
      </c>
      <c r="G62" s="2">
        <v>2205</v>
      </c>
      <c r="H62" s="2">
        <v>10</v>
      </c>
      <c r="I62" s="14">
        <f t="shared" si="0"/>
        <v>33029</v>
      </c>
      <c r="J62" s="26" t="str">
        <f t="shared" si="1"/>
        <v>low</v>
      </c>
      <c r="K62" s="2" t="str">
        <f t="shared" si="2"/>
        <v>5000</v>
      </c>
    </row>
    <row r="63" spans="2:11" x14ac:dyDescent="0.3">
      <c r="B63" s="2">
        <v>1062</v>
      </c>
      <c r="C63" s="2" t="s">
        <v>7</v>
      </c>
      <c r="D63" s="2" t="s">
        <v>11</v>
      </c>
      <c r="E63" s="2" t="s">
        <v>9</v>
      </c>
      <c r="F63" s="6">
        <v>75049</v>
      </c>
      <c r="G63" s="2">
        <v>3176</v>
      </c>
      <c r="H63" s="2">
        <v>5</v>
      </c>
      <c r="I63" s="14">
        <f t="shared" si="0"/>
        <v>78225</v>
      </c>
      <c r="J63" s="26" t="str">
        <f t="shared" si="1"/>
        <v>high</v>
      </c>
      <c r="K63" s="2" t="str">
        <f t="shared" si="2"/>
        <v>2000</v>
      </c>
    </row>
    <row r="64" spans="2:11" x14ac:dyDescent="0.3">
      <c r="B64" s="2">
        <v>1063</v>
      </c>
      <c r="C64" s="2" t="s">
        <v>22</v>
      </c>
      <c r="D64" s="2" t="s">
        <v>14</v>
      </c>
      <c r="E64" s="2" t="s">
        <v>12</v>
      </c>
      <c r="F64" s="6">
        <v>72895</v>
      </c>
      <c r="G64" s="2">
        <v>1576</v>
      </c>
      <c r="H64" s="2">
        <v>7</v>
      </c>
      <c r="I64" s="14">
        <f t="shared" si="0"/>
        <v>74471</v>
      </c>
      <c r="J64" s="26" t="str">
        <f t="shared" si="1"/>
        <v>high</v>
      </c>
      <c r="K64" s="2" t="str">
        <f t="shared" si="2"/>
        <v>5000</v>
      </c>
    </row>
    <row r="65" spans="2:11" x14ac:dyDescent="0.3">
      <c r="B65" s="2">
        <v>1064</v>
      </c>
      <c r="C65" s="2" t="s">
        <v>20</v>
      </c>
      <c r="D65" s="2" t="s">
        <v>19</v>
      </c>
      <c r="E65" s="2" t="s">
        <v>21</v>
      </c>
      <c r="F65" s="6">
        <v>47550</v>
      </c>
      <c r="G65" s="2">
        <v>8666</v>
      </c>
      <c r="H65" s="2">
        <v>7</v>
      </c>
      <c r="I65" s="14">
        <f t="shared" si="0"/>
        <v>56216</v>
      </c>
      <c r="J65" s="26" t="str">
        <f t="shared" si="1"/>
        <v>low</v>
      </c>
      <c r="K65" s="2" t="str">
        <f t="shared" si="2"/>
        <v>5000</v>
      </c>
    </row>
    <row r="66" spans="2:11" x14ac:dyDescent="0.3">
      <c r="B66" s="2">
        <v>1065</v>
      </c>
      <c r="C66" s="2" t="s">
        <v>22</v>
      </c>
      <c r="D66" s="2" t="s">
        <v>11</v>
      </c>
      <c r="E66" s="2" t="s">
        <v>15</v>
      </c>
      <c r="F66" s="6">
        <v>55068</v>
      </c>
      <c r="G66" s="2">
        <v>3185</v>
      </c>
      <c r="H66" s="2">
        <v>7</v>
      </c>
      <c r="I66" s="14">
        <f t="shared" si="0"/>
        <v>58253</v>
      </c>
      <c r="J66" s="26" t="str">
        <f t="shared" si="1"/>
        <v>high</v>
      </c>
      <c r="K66" s="2" t="str">
        <f t="shared" si="2"/>
        <v>5000</v>
      </c>
    </row>
    <row r="67" spans="2:11" x14ac:dyDescent="0.3">
      <c r="B67" s="2">
        <v>1066</v>
      </c>
      <c r="C67" s="2" t="s">
        <v>33</v>
      </c>
      <c r="D67" s="2" t="s">
        <v>8</v>
      </c>
      <c r="E67" s="2" t="s">
        <v>15</v>
      </c>
      <c r="F67" s="6">
        <v>40936</v>
      </c>
      <c r="G67" s="2">
        <v>4211</v>
      </c>
      <c r="H67" s="2">
        <v>3</v>
      </c>
      <c r="I67" s="14">
        <f t="shared" ref="I67:I130" si="3">F67+G67</f>
        <v>45147</v>
      </c>
      <c r="J67" s="26" t="str">
        <f t="shared" ref="J67:J130" si="4">IF(F67&gt;50000, "high", "low")</f>
        <v>low</v>
      </c>
      <c r="K67" s="2" t="str">
        <f t="shared" ref="K67:K130" si="5">IF(H67&gt;5, "5000", "2000")</f>
        <v>2000</v>
      </c>
    </row>
    <row r="68" spans="2:11" x14ac:dyDescent="0.3">
      <c r="B68" s="2">
        <v>1067</v>
      </c>
      <c r="C68" s="2" t="s">
        <v>24</v>
      </c>
      <c r="D68" s="2" t="s">
        <v>19</v>
      </c>
      <c r="E68" s="2" t="s">
        <v>15</v>
      </c>
      <c r="F68" s="6">
        <v>61479</v>
      </c>
      <c r="G68" s="2">
        <v>5657</v>
      </c>
      <c r="H68" s="2">
        <v>10</v>
      </c>
      <c r="I68" s="14">
        <f t="shared" si="3"/>
        <v>67136</v>
      </c>
      <c r="J68" s="26" t="str">
        <f t="shared" si="4"/>
        <v>high</v>
      </c>
      <c r="K68" s="2" t="str">
        <f t="shared" si="5"/>
        <v>5000</v>
      </c>
    </row>
    <row r="69" spans="2:11" x14ac:dyDescent="0.3">
      <c r="B69" s="2">
        <v>1068</v>
      </c>
      <c r="C69" s="2" t="s">
        <v>22</v>
      </c>
      <c r="D69" s="2" t="s">
        <v>11</v>
      </c>
      <c r="E69" s="2" t="s">
        <v>12</v>
      </c>
      <c r="F69" s="6">
        <v>37975</v>
      </c>
      <c r="G69" s="2">
        <v>9510</v>
      </c>
      <c r="H69" s="2">
        <v>6</v>
      </c>
      <c r="I69" s="14">
        <f t="shared" si="3"/>
        <v>47485</v>
      </c>
      <c r="J69" s="26" t="str">
        <f t="shared" si="4"/>
        <v>low</v>
      </c>
      <c r="K69" s="2" t="str">
        <f t="shared" si="5"/>
        <v>5000</v>
      </c>
    </row>
    <row r="70" spans="2:11" x14ac:dyDescent="0.3">
      <c r="B70" s="2">
        <v>1069</v>
      </c>
      <c r="C70" s="2" t="s">
        <v>34</v>
      </c>
      <c r="D70" s="2" t="s">
        <v>8</v>
      </c>
      <c r="E70" s="2" t="s">
        <v>12</v>
      </c>
      <c r="F70" s="6">
        <v>25240</v>
      </c>
      <c r="G70" s="2">
        <v>4594</v>
      </c>
      <c r="H70" s="2">
        <v>8</v>
      </c>
      <c r="I70" s="14">
        <f t="shared" si="3"/>
        <v>29834</v>
      </c>
      <c r="J70" s="26" t="str">
        <f t="shared" si="4"/>
        <v>low</v>
      </c>
      <c r="K70" s="2" t="str">
        <f t="shared" si="5"/>
        <v>5000</v>
      </c>
    </row>
    <row r="71" spans="2:11" x14ac:dyDescent="0.3">
      <c r="B71" s="2">
        <v>1070</v>
      </c>
      <c r="C71" s="2" t="s">
        <v>27</v>
      </c>
      <c r="D71" s="2" t="s">
        <v>14</v>
      </c>
      <c r="E71" s="2" t="s">
        <v>21</v>
      </c>
      <c r="F71" s="6">
        <v>23101</v>
      </c>
      <c r="G71" s="2">
        <v>1108</v>
      </c>
      <c r="H71" s="2">
        <v>1</v>
      </c>
      <c r="I71" s="14">
        <f t="shared" si="3"/>
        <v>24209</v>
      </c>
      <c r="J71" s="26" t="str">
        <f t="shared" si="4"/>
        <v>low</v>
      </c>
      <c r="K71" s="2" t="str">
        <f t="shared" si="5"/>
        <v>2000</v>
      </c>
    </row>
    <row r="72" spans="2:11" x14ac:dyDescent="0.3">
      <c r="B72" s="2">
        <v>1071</v>
      </c>
      <c r="C72" s="2" t="s">
        <v>33</v>
      </c>
      <c r="D72" s="2" t="s">
        <v>11</v>
      </c>
      <c r="E72" s="2" t="s">
        <v>15</v>
      </c>
      <c r="F72" s="6">
        <v>28670</v>
      </c>
      <c r="G72" s="2">
        <v>5096</v>
      </c>
      <c r="H72" s="2">
        <v>6</v>
      </c>
      <c r="I72" s="14">
        <f t="shared" si="3"/>
        <v>33766</v>
      </c>
      <c r="J72" s="26" t="str">
        <f t="shared" si="4"/>
        <v>low</v>
      </c>
      <c r="K72" s="2" t="str">
        <f t="shared" si="5"/>
        <v>5000</v>
      </c>
    </row>
    <row r="73" spans="2:11" x14ac:dyDescent="0.3">
      <c r="B73" s="2">
        <v>1072</v>
      </c>
      <c r="C73" s="2" t="s">
        <v>7</v>
      </c>
      <c r="D73" s="2" t="s">
        <v>8</v>
      </c>
      <c r="E73" s="2" t="s">
        <v>12</v>
      </c>
      <c r="F73" s="6">
        <v>68210</v>
      </c>
      <c r="G73" s="2">
        <v>7404</v>
      </c>
      <c r="H73" s="2">
        <v>7</v>
      </c>
      <c r="I73" s="14">
        <f t="shared" si="3"/>
        <v>75614</v>
      </c>
      <c r="J73" s="26" t="str">
        <f t="shared" si="4"/>
        <v>high</v>
      </c>
      <c r="K73" s="2" t="str">
        <f t="shared" si="5"/>
        <v>5000</v>
      </c>
    </row>
    <row r="74" spans="2:11" x14ac:dyDescent="0.3">
      <c r="B74" s="2">
        <v>1073</v>
      </c>
      <c r="C74" s="2" t="s">
        <v>32</v>
      </c>
      <c r="D74" s="2" t="s">
        <v>14</v>
      </c>
      <c r="E74" s="2" t="s">
        <v>15</v>
      </c>
      <c r="F74" s="6">
        <v>41885</v>
      </c>
      <c r="G74" s="2">
        <v>5581</v>
      </c>
      <c r="H74" s="2">
        <v>9</v>
      </c>
      <c r="I74" s="14">
        <f t="shared" si="3"/>
        <v>47466</v>
      </c>
      <c r="J74" s="26" t="str">
        <f t="shared" si="4"/>
        <v>low</v>
      </c>
      <c r="K74" s="2" t="str">
        <f t="shared" si="5"/>
        <v>5000</v>
      </c>
    </row>
    <row r="75" spans="2:11" x14ac:dyDescent="0.3">
      <c r="B75" s="2">
        <v>1074</v>
      </c>
      <c r="C75" s="2" t="s">
        <v>33</v>
      </c>
      <c r="D75" s="2" t="s">
        <v>14</v>
      </c>
      <c r="E75" s="2" t="s">
        <v>15</v>
      </c>
      <c r="F75" s="6">
        <v>46855</v>
      </c>
      <c r="G75" s="2">
        <v>9162</v>
      </c>
      <c r="H75" s="2">
        <v>5</v>
      </c>
      <c r="I75" s="14">
        <f t="shared" si="3"/>
        <v>56017</v>
      </c>
      <c r="J75" s="26" t="str">
        <f t="shared" si="4"/>
        <v>low</v>
      </c>
      <c r="K75" s="2" t="str">
        <f t="shared" si="5"/>
        <v>2000</v>
      </c>
    </row>
    <row r="76" spans="2:11" x14ac:dyDescent="0.3">
      <c r="B76" s="2">
        <v>1075</v>
      </c>
      <c r="C76" s="2" t="s">
        <v>23</v>
      </c>
      <c r="D76" s="2" t="s">
        <v>14</v>
      </c>
      <c r="E76" s="2" t="s">
        <v>12</v>
      </c>
      <c r="F76" s="6">
        <v>67656</v>
      </c>
      <c r="G76" s="2">
        <v>1218</v>
      </c>
      <c r="H76" s="2">
        <v>10</v>
      </c>
      <c r="I76" s="14">
        <f t="shared" si="3"/>
        <v>68874</v>
      </c>
      <c r="J76" s="26" t="str">
        <f t="shared" si="4"/>
        <v>high</v>
      </c>
      <c r="K76" s="2" t="str">
        <f t="shared" si="5"/>
        <v>5000</v>
      </c>
    </row>
    <row r="77" spans="2:11" x14ac:dyDescent="0.3">
      <c r="B77" s="2">
        <v>1076</v>
      </c>
      <c r="C77" s="2" t="s">
        <v>13</v>
      </c>
      <c r="D77" s="2" t="s">
        <v>11</v>
      </c>
      <c r="E77" s="2" t="s">
        <v>12</v>
      </c>
      <c r="F77" s="6">
        <v>69576</v>
      </c>
      <c r="G77" s="2">
        <v>7262</v>
      </c>
      <c r="H77" s="2">
        <v>5</v>
      </c>
      <c r="I77" s="14">
        <f t="shared" si="3"/>
        <v>76838</v>
      </c>
      <c r="J77" s="26" t="str">
        <f t="shared" si="4"/>
        <v>high</v>
      </c>
      <c r="K77" s="2" t="str">
        <f t="shared" si="5"/>
        <v>2000</v>
      </c>
    </row>
    <row r="78" spans="2:11" x14ac:dyDescent="0.3">
      <c r="B78" s="2">
        <v>1077</v>
      </c>
      <c r="C78" s="2" t="s">
        <v>18</v>
      </c>
      <c r="D78" s="2" t="s">
        <v>8</v>
      </c>
      <c r="E78" s="2" t="s">
        <v>12</v>
      </c>
      <c r="F78" s="6">
        <v>71754</v>
      </c>
      <c r="G78" s="2">
        <v>2979</v>
      </c>
      <c r="H78" s="2">
        <v>1</v>
      </c>
      <c r="I78" s="14">
        <f t="shared" si="3"/>
        <v>74733</v>
      </c>
      <c r="J78" s="26" t="str">
        <f t="shared" si="4"/>
        <v>high</v>
      </c>
      <c r="K78" s="2" t="str">
        <f t="shared" si="5"/>
        <v>2000</v>
      </c>
    </row>
    <row r="79" spans="2:11" x14ac:dyDescent="0.3">
      <c r="B79" s="2">
        <v>1078</v>
      </c>
      <c r="C79" s="2" t="s">
        <v>31</v>
      </c>
      <c r="D79" s="2" t="s">
        <v>11</v>
      </c>
      <c r="E79" s="2" t="s">
        <v>15</v>
      </c>
      <c r="F79" s="6">
        <v>73784</v>
      </c>
      <c r="G79" s="2">
        <v>7859</v>
      </c>
      <c r="H79" s="2">
        <v>10</v>
      </c>
      <c r="I79" s="14">
        <f t="shared" si="3"/>
        <v>81643</v>
      </c>
      <c r="J79" s="26" t="str">
        <f t="shared" si="4"/>
        <v>high</v>
      </c>
      <c r="K79" s="2" t="str">
        <f t="shared" si="5"/>
        <v>5000</v>
      </c>
    </row>
    <row r="80" spans="2:11" x14ac:dyDescent="0.3">
      <c r="B80" s="2">
        <v>1079</v>
      </c>
      <c r="C80" s="2" t="s">
        <v>34</v>
      </c>
      <c r="D80" s="2" t="s">
        <v>19</v>
      </c>
      <c r="E80" s="2" t="s">
        <v>21</v>
      </c>
      <c r="F80" s="6">
        <v>26703</v>
      </c>
      <c r="G80" s="2">
        <v>7424</v>
      </c>
      <c r="H80" s="2">
        <v>7</v>
      </c>
      <c r="I80" s="14">
        <f t="shared" si="3"/>
        <v>34127</v>
      </c>
      <c r="J80" s="26" t="str">
        <f t="shared" si="4"/>
        <v>low</v>
      </c>
      <c r="K80" s="2" t="str">
        <f t="shared" si="5"/>
        <v>5000</v>
      </c>
    </row>
    <row r="81" spans="2:11" x14ac:dyDescent="0.3">
      <c r="B81" s="2">
        <v>1080</v>
      </c>
      <c r="C81" s="2" t="s">
        <v>25</v>
      </c>
      <c r="D81" s="2" t="s">
        <v>11</v>
      </c>
      <c r="E81" s="2" t="s">
        <v>15</v>
      </c>
      <c r="F81" s="6">
        <v>29509</v>
      </c>
      <c r="G81" s="2">
        <v>7481</v>
      </c>
      <c r="H81" s="2">
        <v>5</v>
      </c>
      <c r="I81" s="14">
        <f t="shared" si="3"/>
        <v>36990</v>
      </c>
      <c r="J81" s="26" t="str">
        <f t="shared" si="4"/>
        <v>low</v>
      </c>
      <c r="K81" s="2" t="str">
        <f t="shared" si="5"/>
        <v>2000</v>
      </c>
    </row>
    <row r="82" spans="2:11" x14ac:dyDescent="0.3">
      <c r="B82" s="2">
        <v>1081</v>
      </c>
      <c r="C82" s="2" t="s">
        <v>31</v>
      </c>
      <c r="D82" s="2" t="s">
        <v>19</v>
      </c>
      <c r="E82" s="2" t="s">
        <v>15</v>
      </c>
      <c r="F82" s="6">
        <v>73007</v>
      </c>
      <c r="G82" s="2">
        <v>6784</v>
      </c>
      <c r="H82" s="2">
        <v>3</v>
      </c>
      <c r="I82" s="14">
        <f t="shared" si="3"/>
        <v>79791</v>
      </c>
      <c r="J82" s="26" t="str">
        <f t="shared" si="4"/>
        <v>high</v>
      </c>
      <c r="K82" s="2" t="str">
        <f t="shared" si="5"/>
        <v>2000</v>
      </c>
    </row>
    <row r="83" spans="2:11" x14ac:dyDescent="0.3">
      <c r="B83" s="2">
        <v>1082</v>
      </c>
      <c r="C83" s="2" t="s">
        <v>18</v>
      </c>
      <c r="D83" s="2" t="s">
        <v>14</v>
      </c>
      <c r="E83" s="2" t="s">
        <v>12</v>
      </c>
      <c r="F83" s="6">
        <v>57292</v>
      </c>
      <c r="G83" s="2">
        <v>3999</v>
      </c>
      <c r="H83" s="2">
        <v>2</v>
      </c>
      <c r="I83" s="14">
        <f t="shared" si="3"/>
        <v>61291</v>
      </c>
      <c r="J83" s="26" t="str">
        <f t="shared" si="4"/>
        <v>high</v>
      </c>
      <c r="K83" s="2" t="str">
        <f t="shared" si="5"/>
        <v>2000</v>
      </c>
    </row>
    <row r="84" spans="2:11" x14ac:dyDescent="0.3">
      <c r="B84" s="2">
        <v>1083</v>
      </c>
      <c r="C84" s="2" t="s">
        <v>30</v>
      </c>
      <c r="D84" s="2" t="s">
        <v>19</v>
      </c>
      <c r="E84" s="2" t="s">
        <v>21</v>
      </c>
      <c r="F84" s="6">
        <v>41275</v>
      </c>
      <c r="G84" s="2">
        <v>9081</v>
      </c>
      <c r="H84" s="2">
        <v>9</v>
      </c>
      <c r="I84" s="14">
        <f t="shared" si="3"/>
        <v>50356</v>
      </c>
      <c r="J84" s="26" t="str">
        <f t="shared" si="4"/>
        <v>low</v>
      </c>
      <c r="K84" s="2" t="str">
        <f t="shared" si="5"/>
        <v>5000</v>
      </c>
    </row>
    <row r="85" spans="2:11" x14ac:dyDescent="0.3">
      <c r="B85" s="2">
        <v>1084</v>
      </c>
      <c r="C85" s="2" t="s">
        <v>22</v>
      </c>
      <c r="D85" s="2" t="s">
        <v>19</v>
      </c>
      <c r="E85" s="2" t="s">
        <v>9</v>
      </c>
      <c r="F85" s="6">
        <v>74986</v>
      </c>
      <c r="G85" s="2">
        <v>3129</v>
      </c>
      <c r="H85" s="2">
        <v>1</v>
      </c>
      <c r="I85" s="14">
        <f t="shared" si="3"/>
        <v>78115</v>
      </c>
      <c r="J85" s="26" t="str">
        <f t="shared" si="4"/>
        <v>high</v>
      </c>
      <c r="K85" s="2" t="str">
        <f t="shared" si="5"/>
        <v>2000</v>
      </c>
    </row>
    <row r="86" spans="2:11" x14ac:dyDescent="0.3">
      <c r="B86" s="2">
        <v>1085</v>
      </c>
      <c r="C86" s="2" t="s">
        <v>18</v>
      </c>
      <c r="D86" s="2" t="s">
        <v>14</v>
      </c>
      <c r="E86" s="2" t="s">
        <v>15</v>
      </c>
      <c r="F86" s="6">
        <v>26328</v>
      </c>
      <c r="G86" s="2">
        <v>2713</v>
      </c>
      <c r="H86" s="2">
        <v>8</v>
      </c>
      <c r="I86" s="14">
        <f t="shared" si="3"/>
        <v>29041</v>
      </c>
      <c r="J86" s="26" t="str">
        <f t="shared" si="4"/>
        <v>low</v>
      </c>
      <c r="K86" s="2" t="str">
        <f t="shared" si="5"/>
        <v>5000</v>
      </c>
    </row>
    <row r="87" spans="2:11" x14ac:dyDescent="0.3">
      <c r="B87" s="2">
        <v>1086</v>
      </c>
      <c r="C87" s="2" t="s">
        <v>30</v>
      </c>
      <c r="D87" s="2" t="s">
        <v>19</v>
      </c>
      <c r="E87" s="2" t="s">
        <v>12</v>
      </c>
      <c r="F87" s="6">
        <v>64262</v>
      </c>
      <c r="G87" s="2">
        <v>5101</v>
      </c>
      <c r="H87" s="2">
        <v>8</v>
      </c>
      <c r="I87" s="14">
        <f t="shared" si="3"/>
        <v>69363</v>
      </c>
      <c r="J87" s="26" t="str">
        <f t="shared" si="4"/>
        <v>high</v>
      </c>
      <c r="K87" s="2" t="str">
        <f t="shared" si="5"/>
        <v>5000</v>
      </c>
    </row>
    <row r="88" spans="2:11" x14ac:dyDescent="0.3">
      <c r="B88" s="2">
        <v>1087</v>
      </c>
      <c r="C88" s="2" t="s">
        <v>30</v>
      </c>
      <c r="D88" s="2" t="s">
        <v>14</v>
      </c>
      <c r="E88" s="2" t="s">
        <v>9</v>
      </c>
      <c r="F88" s="6">
        <v>35514</v>
      </c>
      <c r="G88" s="2">
        <v>7798</v>
      </c>
      <c r="H88" s="2">
        <v>8</v>
      </c>
      <c r="I88" s="14">
        <f t="shared" si="3"/>
        <v>43312</v>
      </c>
      <c r="J88" s="26" t="str">
        <f t="shared" si="4"/>
        <v>low</v>
      </c>
      <c r="K88" s="2" t="str">
        <f t="shared" si="5"/>
        <v>5000</v>
      </c>
    </row>
    <row r="89" spans="2:11" x14ac:dyDescent="0.3">
      <c r="B89" s="2">
        <v>1088</v>
      </c>
      <c r="C89" s="2" t="s">
        <v>33</v>
      </c>
      <c r="D89" s="2" t="s">
        <v>11</v>
      </c>
      <c r="E89" s="2" t="s">
        <v>12</v>
      </c>
      <c r="F89" s="6">
        <v>33097</v>
      </c>
      <c r="G89" s="2">
        <v>3123</v>
      </c>
      <c r="H89" s="2">
        <v>7</v>
      </c>
      <c r="I89" s="14">
        <f t="shared" si="3"/>
        <v>36220</v>
      </c>
      <c r="J89" s="26" t="str">
        <f t="shared" si="4"/>
        <v>low</v>
      </c>
      <c r="K89" s="2" t="str">
        <f t="shared" si="5"/>
        <v>5000</v>
      </c>
    </row>
    <row r="90" spans="2:11" x14ac:dyDescent="0.3">
      <c r="B90" s="2">
        <v>1089</v>
      </c>
      <c r="C90" s="2" t="s">
        <v>27</v>
      </c>
      <c r="D90" s="2" t="s">
        <v>19</v>
      </c>
      <c r="E90" s="2" t="s">
        <v>15</v>
      </c>
      <c r="F90" s="6">
        <v>71262</v>
      </c>
      <c r="G90" s="2">
        <v>7439</v>
      </c>
      <c r="H90" s="2">
        <v>4</v>
      </c>
      <c r="I90" s="14">
        <f t="shared" si="3"/>
        <v>78701</v>
      </c>
      <c r="J90" s="26" t="str">
        <f t="shared" si="4"/>
        <v>high</v>
      </c>
      <c r="K90" s="2" t="str">
        <f t="shared" si="5"/>
        <v>2000</v>
      </c>
    </row>
    <row r="91" spans="2:11" x14ac:dyDescent="0.3">
      <c r="B91" s="2">
        <v>1090</v>
      </c>
      <c r="C91" s="2" t="s">
        <v>25</v>
      </c>
      <c r="D91" s="2" t="s">
        <v>14</v>
      </c>
      <c r="E91" s="2" t="s">
        <v>15</v>
      </c>
      <c r="F91" s="6">
        <v>40271</v>
      </c>
      <c r="G91" s="2">
        <v>1664</v>
      </c>
      <c r="H91" s="2">
        <v>7</v>
      </c>
      <c r="I91" s="14">
        <f t="shared" si="3"/>
        <v>41935</v>
      </c>
      <c r="J91" s="26" t="str">
        <f t="shared" si="4"/>
        <v>low</v>
      </c>
      <c r="K91" s="2" t="str">
        <f t="shared" si="5"/>
        <v>5000</v>
      </c>
    </row>
    <row r="92" spans="2:11" x14ac:dyDescent="0.3">
      <c r="B92" s="2">
        <v>1091</v>
      </c>
      <c r="C92" s="2" t="s">
        <v>31</v>
      </c>
      <c r="D92" s="2" t="s">
        <v>14</v>
      </c>
      <c r="E92" s="2" t="s">
        <v>12</v>
      </c>
      <c r="F92" s="6">
        <v>79161</v>
      </c>
      <c r="G92" s="2">
        <v>5186</v>
      </c>
      <c r="H92" s="2">
        <v>9</v>
      </c>
      <c r="I92" s="14">
        <f t="shared" si="3"/>
        <v>84347</v>
      </c>
      <c r="J92" s="26" t="str">
        <f t="shared" si="4"/>
        <v>high</v>
      </c>
      <c r="K92" s="2" t="str">
        <f t="shared" si="5"/>
        <v>5000</v>
      </c>
    </row>
    <row r="93" spans="2:11" x14ac:dyDescent="0.3">
      <c r="B93" s="2">
        <v>1092</v>
      </c>
      <c r="C93" s="2" t="s">
        <v>24</v>
      </c>
      <c r="D93" s="2" t="s">
        <v>11</v>
      </c>
      <c r="E93" s="2" t="s">
        <v>9</v>
      </c>
      <c r="F93" s="6">
        <v>29387</v>
      </c>
      <c r="G93" s="2">
        <v>7882</v>
      </c>
      <c r="H93" s="2">
        <v>1</v>
      </c>
      <c r="I93" s="14">
        <f t="shared" si="3"/>
        <v>37269</v>
      </c>
      <c r="J93" s="26" t="str">
        <f t="shared" si="4"/>
        <v>low</v>
      </c>
      <c r="K93" s="2" t="str">
        <f t="shared" si="5"/>
        <v>2000</v>
      </c>
    </row>
    <row r="94" spans="2:11" x14ac:dyDescent="0.3">
      <c r="B94" s="2">
        <v>1093</v>
      </c>
      <c r="C94" s="2" t="s">
        <v>29</v>
      </c>
      <c r="D94" s="2" t="s">
        <v>8</v>
      </c>
      <c r="E94" s="2" t="s">
        <v>9</v>
      </c>
      <c r="F94" s="6">
        <v>26353</v>
      </c>
      <c r="G94" s="2">
        <v>6268</v>
      </c>
      <c r="H94" s="2">
        <v>8</v>
      </c>
      <c r="I94" s="14">
        <f t="shared" si="3"/>
        <v>32621</v>
      </c>
      <c r="J94" s="26" t="str">
        <f t="shared" si="4"/>
        <v>low</v>
      </c>
      <c r="K94" s="2" t="str">
        <f t="shared" si="5"/>
        <v>5000</v>
      </c>
    </row>
    <row r="95" spans="2:11" x14ac:dyDescent="0.3">
      <c r="B95" s="2">
        <v>1094</v>
      </c>
      <c r="C95" s="2" t="s">
        <v>23</v>
      </c>
      <c r="D95" s="2" t="s">
        <v>14</v>
      </c>
      <c r="E95" s="2" t="s">
        <v>21</v>
      </c>
      <c r="F95" s="6">
        <v>25298</v>
      </c>
      <c r="G95" s="2">
        <v>5540</v>
      </c>
      <c r="H95" s="2">
        <v>7</v>
      </c>
      <c r="I95" s="14">
        <f t="shared" si="3"/>
        <v>30838</v>
      </c>
      <c r="J95" s="26" t="str">
        <f t="shared" si="4"/>
        <v>low</v>
      </c>
      <c r="K95" s="2" t="str">
        <f t="shared" si="5"/>
        <v>5000</v>
      </c>
    </row>
    <row r="96" spans="2:11" x14ac:dyDescent="0.3">
      <c r="B96" s="2">
        <v>1095</v>
      </c>
      <c r="C96" s="2" t="s">
        <v>32</v>
      </c>
      <c r="D96" s="2" t="s">
        <v>19</v>
      </c>
      <c r="E96" s="2" t="s">
        <v>21</v>
      </c>
      <c r="F96" s="6">
        <v>23230</v>
      </c>
      <c r="G96" s="2">
        <v>5570</v>
      </c>
      <c r="H96" s="2">
        <v>3</v>
      </c>
      <c r="I96" s="14">
        <f t="shared" si="3"/>
        <v>28800</v>
      </c>
      <c r="J96" s="26" t="str">
        <f t="shared" si="4"/>
        <v>low</v>
      </c>
      <c r="K96" s="2" t="str">
        <f t="shared" si="5"/>
        <v>2000</v>
      </c>
    </row>
    <row r="97" spans="2:11" x14ac:dyDescent="0.3">
      <c r="B97" s="2">
        <v>1096</v>
      </c>
      <c r="C97" s="2" t="s">
        <v>31</v>
      </c>
      <c r="D97" s="2" t="s">
        <v>14</v>
      </c>
      <c r="E97" s="2" t="s">
        <v>9</v>
      </c>
      <c r="F97" s="6">
        <v>29456</v>
      </c>
      <c r="G97" s="2">
        <v>4321</v>
      </c>
      <c r="H97" s="2">
        <v>9</v>
      </c>
      <c r="I97" s="14">
        <f t="shared" si="3"/>
        <v>33777</v>
      </c>
      <c r="J97" s="26" t="str">
        <f t="shared" si="4"/>
        <v>low</v>
      </c>
      <c r="K97" s="2" t="str">
        <f t="shared" si="5"/>
        <v>5000</v>
      </c>
    </row>
    <row r="98" spans="2:11" x14ac:dyDescent="0.3">
      <c r="B98" s="2">
        <v>1097</v>
      </c>
      <c r="C98" s="2" t="s">
        <v>22</v>
      </c>
      <c r="D98" s="2" t="s">
        <v>11</v>
      </c>
      <c r="E98" s="2" t="s">
        <v>9</v>
      </c>
      <c r="F98" s="6">
        <v>44707</v>
      </c>
      <c r="G98" s="2">
        <v>6435</v>
      </c>
      <c r="H98" s="2">
        <v>7</v>
      </c>
      <c r="I98" s="14">
        <f t="shared" si="3"/>
        <v>51142</v>
      </c>
      <c r="J98" s="26" t="str">
        <f t="shared" si="4"/>
        <v>low</v>
      </c>
      <c r="K98" s="2" t="str">
        <f t="shared" si="5"/>
        <v>5000</v>
      </c>
    </row>
    <row r="99" spans="2:11" x14ac:dyDescent="0.3">
      <c r="B99" s="2">
        <v>1098</v>
      </c>
      <c r="C99" s="2" t="s">
        <v>16</v>
      </c>
      <c r="D99" s="2" t="s">
        <v>11</v>
      </c>
      <c r="E99" s="2" t="s">
        <v>12</v>
      </c>
      <c r="F99" s="6">
        <v>70947</v>
      </c>
      <c r="G99" s="2">
        <v>9984</v>
      </c>
      <c r="H99" s="2">
        <v>4</v>
      </c>
      <c r="I99" s="14">
        <f t="shared" si="3"/>
        <v>80931</v>
      </c>
      <c r="J99" s="26" t="str">
        <f t="shared" si="4"/>
        <v>high</v>
      </c>
      <c r="K99" s="2" t="str">
        <f t="shared" si="5"/>
        <v>2000</v>
      </c>
    </row>
    <row r="100" spans="2:11" x14ac:dyDescent="0.3">
      <c r="B100" s="2">
        <v>1099</v>
      </c>
      <c r="C100" s="2" t="s">
        <v>18</v>
      </c>
      <c r="D100" s="2" t="s">
        <v>14</v>
      </c>
      <c r="E100" s="2" t="s">
        <v>21</v>
      </c>
      <c r="F100" s="6">
        <v>36465</v>
      </c>
      <c r="G100" s="2">
        <v>4576</v>
      </c>
      <c r="H100" s="2">
        <v>10</v>
      </c>
      <c r="I100" s="14">
        <f t="shared" si="3"/>
        <v>41041</v>
      </c>
      <c r="J100" s="26" t="str">
        <f t="shared" si="4"/>
        <v>low</v>
      </c>
      <c r="K100" s="2" t="str">
        <f t="shared" si="5"/>
        <v>5000</v>
      </c>
    </row>
    <row r="101" spans="2:11" x14ac:dyDescent="0.3">
      <c r="B101" s="2">
        <v>1100</v>
      </c>
      <c r="C101" s="2" t="s">
        <v>25</v>
      </c>
      <c r="D101" s="2" t="s">
        <v>14</v>
      </c>
      <c r="E101" s="2" t="s">
        <v>21</v>
      </c>
      <c r="F101" s="6">
        <v>60782</v>
      </c>
      <c r="G101" s="2">
        <v>5399</v>
      </c>
      <c r="H101" s="2">
        <v>1</v>
      </c>
      <c r="I101" s="14">
        <f t="shared" si="3"/>
        <v>66181</v>
      </c>
      <c r="J101" s="26" t="str">
        <f t="shared" si="4"/>
        <v>high</v>
      </c>
      <c r="K101" s="2" t="str">
        <f t="shared" si="5"/>
        <v>2000</v>
      </c>
    </row>
    <row r="102" spans="2:11" x14ac:dyDescent="0.3">
      <c r="B102" s="2">
        <v>1101</v>
      </c>
      <c r="C102" s="2" t="s">
        <v>18</v>
      </c>
      <c r="D102" s="2" t="s">
        <v>8</v>
      </c>
      <c r="E102" s="2" t="s">
        <v>9</v>
      </c>
      <c r="F102" s="6">
        <v>69179</v>
      </c>
      <c r="G102" s="2">
        <v>8309</v>
      </c>
      <c r="H102" s="2">
        <v>9</v>
      </c>
      <c r="I102" s="14">
        <f t="shared" si="3"/>
        <v>77488</v>
      </c>
      <c r="J102" s="26" t="str">
        <f t="shared" si="4"/>
        <v>high</v>
      </c>
      <c r="K102" s="2" t="str">
        <f t="shared" si="5"/>
        <v>5000</v>
      </c>
    </row>
    <row r="103" spans="2:11" x14ac:dyDescent="0.3">
      <c r="B103" s="2">
        <v>1102</v>
      </c>
      <c r="C103" s="2" t="s">
        <v>24</v>
      </c>
      <c r="D103" s="2" t="s">
        <v>11</v>
      </c>
      <c r="E103" s="2" t="s">
        <v>21</v>
      </c>
      <c r="F103" s="6">
        <v>28278</v>
      </c>
      <c r="G103" s="2">
        <v>7093</v>
      </c>
      <c r="H103" s="2">
        <v>3</v>
      </c>
      <c r="I103" s="14">
        <f t="shared" si="3"/>
        <v>35371</v>
      </c>
      <c r="J103" s="26" t="str">
        <f t="shared" si="4"/>
        <v>low</v>
      </c>
      <c r="K103" s="2" t="str">
        <f t="shared" si="5"/>
        <v>2000</v>
      </c>
    </row>
    <row r="104" spans="2:11" x14ac:dyDescent="0.3">
      <c r="B104" s="2">
        <v>1103</v>
      </c>
      <c r="C104" s="2" t="s">
        <v>17</v>
      </c>
      <c r="D104" s="2" t="s">
        <v>14</v>
      </c>
      <c r="E104" s="2" t="s">
        <v>15</v>
      </c>
      <c r="F104" s="6">
        <v>21588</v>
      </c>
      <c r="G104" s="2">
        <v>8420</v>
      </c>
      <c r="H104" s="2">
        <v>10</v>
      </c>
      <c r="I104" s="14">
        <f t="shared" si="3"/>
        <v>30008</v>
      </c>
      <c r="J104" s="26" t="str">
        <f t="shared" si="4"/>
        <v>low</v>
      </c>
      <c r="K104" s="2" t="str">
        <f t="shared" si="5"/>
        <v>5000</v>
      </c>
    </row>
    <row r="105" spans="2:11" x14ac:dyDescent="0.3">
      <c r="B105" s="2">
        <v>1104</v>
      </c>
      <c r="C105" s="2" t="s">
        <v>7</v>
      </c>
      <c r="D105" s="2" t="s">
        <v>14</v>
      </c>
      <c r="E105" s="2" t="s">
        <v>15</v>
      </c>
      <c r="F105" s="6">
        <v>58257</v>
      </c>
      <c r="G105" s="2">
        <v>2551</v>
      </c>
      <c r="H105" s="2">
        <v>7</v>
      </c>
      <c r="I105" s="14">
        <f t="shared" si="3"/>
        <v>60808</v>
      </c>
      <c r="J105" s="26" t="str">
        <f t="shared" si="4"/>
        <v>high</v>
      </c>
      <c r="K105" s="2" t="str">
        <f t="shared" si="5"/>
        <v>5000</v>
      </c>
    </row>
    <row r="106" spans="2:11" x14ac:dyDescent="0.3">
      <c r="B106" s="2">
        <v>1105</v>
      </c>
      <c r="C106" s="2" t="s">
        <v>20</v>
      </c>
      <c r="D106" s="2" t="s">
        <v>14</v>
      </c>
      <c r="E106" s="2" t="s">
        <v>12</v>
      </c>
      <c r="F106" s="6">
        <v>35113</v>
      </c>
      <c r="G106" s="2">
        <v>6766</v>
      </c>
      <c r="H106" s="2">
        <v>6</v>
      </c>
      <c r="I106" s="14">
        <f t="shared" si="3"/>
        <v>41879</v>
      </c>
      <c r="J106" s="26" t="str">
        <f t="shared" si="4"/>
        <v>low</v>
      </c>
      <c r="K106" s="2" t="str">
        <f t="shared" si="5"/>
        <v>5000</v>
      </c>
    </row>
    <row r="107" spans="2:11" x14ac:dyDescent="0.3">
      <c r="B107" s="2">
        <v>1106</v>
      </c>
      <c r="C107" s="2" t="s">
        <v>28</v>
      </c>
      <c r="D107" s="2" t="s">
        <v>11</v>
      </c>
      <c r="E107" s="2" t="s">
        <v>21</v>
      </c>
      <c r="F107" s="6">
        <v>39364</v>
      </c>
      <c r="G107" s="2">
        <v>5237</v>
      </c>
      <c r="H107" s="2">
        <v>7</v>
      </c>
      <c r="I107" s="14">
        <f t="shared" si="3"/>
        <v>44601</v>
      </c>
      <c r="J107" s="26" t="str">
        <f t="shared" si="4"/>
        <v>low</v>
      </c>
      <c r="K107" s="2" t="str">
        <f t="shared" si="5"/>
        <v>5000</v>
      </c>
    </row>
    <row r="108" spans="2:11" x14ac:dyDescent="0.3">
      <c r="B108" s="2">
        <v>1107</v>
      </c>
      <c r="C108" s="2" t="s">
        <v>24</v>
      </c>
      <c r="D108" s="2" t="s">
        <v>19</v>
      </c>
      <c r="E108" s="2" t="s">
        <v>21</v>
      </c>
      <c r="F108" s="6">
        <v>20025</v>
      </c>
      <c r="G108" s="2">
        <v>9889</v>
      </c>
      <c r="H108" s="2">
        <v>6</v>
      </c>
      <c r="I108" s="14">
        <f t="shared" si="3"/>
        <v>29914</v>
      </c>
      <c r="J108" s="26" t="str">
        <f t="shared" si="4"/>
        <v>low</v>
      </c>
      <c r="K108" s="2" t="str">
        <f t="shared" si="5"/>
        <v>5000</v>
      </c>
    </row>
    <row r="109" spans="2:11" x14ac:dyDescent="0.3">
      <c r="B109" s="2">
        <v>1108</v>
      </c>
      <c r="C109" s="2" t="s">
        <v>27</v>
      </c>
      <c r="D109" s="2" t="s">
        <v>19</v>
      </c>
      <c r="E109" s="2" t="s">
        <v>12</v>
      </c>
      <c r="F109" s="6">
        <v>32604</v>
      </c>
      <c r="G109" s="2">
        <v>9062</v>
      </c>
      <c r="H109" s="2">
        <v>1</v>
      </c>
      <c r="I109" s="14">
        <f t="shared" si="3"/>
        <v>41666</v>
      </c>
      <c r="J109" s="26" t="str">
        <f t="shared" si="4"/>
        <v>low</v>
      </c>
      <c r="K109" s="2" t="str">
        <f t="shared" si="5"/>
        <v>2000</v>
      </c>
    </row>
    <row r="110" spans="2:11" x14ac:dyDescent="0.3">
      <c r="B110" s="2">
        <v>1109</v>
      </c>
      <c r="C110" s="2" t="s">
        <v>31</v>
      </c>
      <c r="D110" s="2" t="s">
        <v>19</v>
      </c>
      <c r="E110" s="2" t="s">
        <v>21</v>
      </c>
      <c r="F110" s="6">
        <v>20876</v>
      </c>
      <c r="G110" s="2">
        <v>4076</v>
      </c>
      <c r="H110" s="2">
        <v>8</v>
      </c>
      <c r="I110" s="14">
        <f t="shared" si="3"/>
        <v>24952</v>
      </c>
      <c r="J110" s="26" t="str">
        <f t="shared" si="4"/>
        <v>low</v>
      </c>
      <c r="K110" s="2" t="str">
        <f t="shared" si="5"/>
        <v>5000</v>
      </c>
    </row>
    <row r="111" spans="2:11" x14ac:dyDescent="0.3">
      <c r="B111" s="2">
        <v>1110</v>
      </c>
      <c r="C111" s="2" t="s">
        <v>31</v>
      </c>
      <c r="D111" s="2" t="s">
        <v>14</v>
      </c>
      <c r="E111" s="2" t="s">
        <v>12</v>
      </c>
      <c r="F111" s="6">
        <v>56776</v>
      </c>
      <c r="G111" s="2">
        <v>1203</v>
      </c>
      <c r="H111" s="2">
        <v>10</v>
      </c>
      <c r="I111" s="14">
        <f t="shared" si="3"/>
        <v>57979</v>
      </c>
      <c r="J111" s="26" t="str">
        <f t="shared" si="4"/>
        <v>high</v>
      </c>
      <c r="K111" s="2" t="str">
        <f t="shared" si="5"/>
        <v>5000</v>
      </c>
    </row>
    <row r="112" spans="2:11" x14ac:dyDescent="0.3">
      <c r="B112" s="2">
        <v>1111</v>
      </c>
      <c r="C112" s="2" t="s">
        <v>10</v>
      </c>
      <c r="D112" s="2" t="s">
        <v>19</v>
      </c>
      <c r="E112" s="2" t="s">
        <v>12</v>
      </c>
      <c r="F112" s="6">
        <v>23817</v>
      </c>
      <c r="G112" s="2">
        <v>6841</v>
      </c>
      <c r="H112" s="2">
        <v>1</v>
      </c>
      <c r="I112" s="14">
        <f t="shared" si="3"/>
        <v>30658</v>
      </c>
      <c r="J112" s="26" t="str">
        <f t="shared" si="4"/>
        <v>low</v>
      </c>
      <c r="K112" s="2" t="str">
        <f t="shared" si="5"/>
        <v>2000</v>
      </c>
    </row>
    <row r="113" spans="2:11" x14ac:dyDescent="0.3">
      <c r="B113" s="2">
        <v>1112</v>
      </c>
      <c r="C113" s="2" t="s">
        <v>28</v>
      </c>
      <c r="D113" s="2" t="s">
        <v>14</v>
      </c>
      <c r="E113" s="2" t="s">
        <v>9</v>
      </c>
      <c r="F113" s="6">
        <v>30085</v>
      </c>
      <c r="G113" s="2">
        <v>1516</v>
      </c>
      <c r="H113" s="2">
        <v>10</v>
      </c>
      <c r="I113" s="14">
        <f t="shared" si="3"/>
        <v>31601</v>
      </c>
      <c r="J113" s="26" t="str">
        <f t="shared" si="4"/>
        <v>low</v>
      </c>
      <c r="K113" s="2" t="str">
        <f t="shared" si="5"/>
        <v>5000</v>
      </c>
    </row>
    <row r="114" spans="2:11" x14ac:dyDescent="0.3">
      <c r="B114" s="2">
        <v>1113</v>
      </c>
      <c r="C114" s="2" t="s">
        <v>34</v>
      </c>
      <c r="D114" s="2" t="s">
        <v>8</v>
      </c>
      <c r="E114" s="2" t="s">
        <v>12</v>
      </c>
      <c r="F114" s="6">
        <v>78637</v>
      </c>
      <c r="G114" s="2">
        <v>9118</v>
      </c>
      <c r="H114" s="2">
        <v>4</v>
      </c>
      <c r="I114" s="14">
        <f t="shared" si="3"/>
        <v>87755</v>
      </c>
      <c r="J114" s="26" t="str">
        <f t="shared" si="4"/>
        <v>high</v>
      </c>
      <c r="K114" s="2" t="str">
        <f t="shared" si="5"/>
        <v>2000</v>
      </c>
    </row>
    <row r="115" spans="2:11" x14ac:dyDescent="0.3">
      <c r="B115" s="2">
        <v>1114</v>
      </c>
      <c r="C115" s="2" t="s">
        <v>27</v>
      </c>
      <c r="D115" s="2" t="s">
        <v>14</v>
      </c>
      <c r="E115" s="2" t="s">
        <v>12</v>
      </c>
      <c r="F115" s="6">
        <v>78931</v>
      </c>
      <c r="G115" s="2">
        <v>1218</v>
      </c>
      <c r="H115" s="2">
        <v>3</v>
      </c>
      <c r="I115" s="14">
        <f t="shared" si="3"/>
        <v>80149</v>
      </c>
      <c r="J115" s="26" t="str">
        <f t="shared" si="4"/>
        <v>high</v>
      </c>
      <c r="K115" s="2" t="str">
        <f t="shared" si="5"/>
        <v>2000</v>
      </c>
    </row>
    <row r="116" spans="2:11" x14ac:dyDescent="0.3">
      <c r="B116" s="2">
        <v>1115</v>
      </c>
      <c r="C116" s="2" t="s">
        <v>10</v>
      </c>
      <c r="D116" s="2" t="s">
        <v>19</v>
      </c>
      <c r="E116" s="2" t="s">
        <v>15</v>
      </c>
      <c r="F116" s="6">
        <v>29392</v>
      </c>
      <c r="G116" s="2">
        <v>8527</v>
      </c>
      <c r="H116" s="2">
        <v>5</v>
      </c>
      <c r="I116" s="14">
        <f t="shared" si="3"/>
        <v>37919</v>
      </c>
      <c r="J116" s="26" t="str">
        <f t="shared" si="4"/>
        <v>low</v>
      </c>
      <c r="K116" s="2" t="str">
        <f t="shared" si="5"/>
        <v>2000</v>
      </c>
    </row>
    <row r="117" spans="2:11" x14ac:dyDescent="0.3">
      <c r="B117" s="2">
        <v>1116</v>
      </c>
      <c r="C117" s="2" t="s">
        <v>22</v>
      </c>
      <c r="D117" s="2" t="s">
        <v>14</v>
      </c>
      <c r="E117" s="2" t="s">
        <v>15</v>
      </c>
      <c r="F117" s="6">
        <v>28276</v>
      </c>
      <c r="G117" s="2">
        <v>5914</v>
      </c>
      <c r="H117" s="2">
        <v>4</v>
      </c>
      <c r="I117" s="14">
        <f t="shared" si="3"/>
        <v>34190</v>
      </c>
      <c r="J117" s="26" t="str">
        <f t="shared" si="4"/>
        <v>low</v>
      </c>
      <c r="K117" s="2" t="str">
        <f t="shared" si="5"/>
        <v>2000</v>
      </c>
    </row>
    <row r="118" spans="2:11" x14ac:dyDescent="0.3">
      <c r="B118" s="2">
        <v>1117</v>
      </c>
      <c r="C118" s="2" t="s">
        <v>26</v>
      </c>
      <c r="D118" s="2" t="s">
        <v>8</v>
      </c>
      <c r="E118" s="2" t="s">
        <v>9</v>
      </c>
      <c r="F118" s="6">
        <v>38807</v>
      </c>
      <c r="G118" s="2">
        <v>9823</v>
      </c>
      <c r="H118" s="2">
        <v>3</v>
      </c>
      <c r="I118" s="14">
        <f t="shared" si="3"/>
        <v>48630</v>
      </c>
      <c r="J118" s="26" t="str">
        <f t="shared" si="4"/>
        <v>low</v>
      </c>
      <c r="K118" s="2" t="str">
        <f t="shared" si="5"/>
        <v>2000</v>
      </c>
    </row>
    <row r="119" spans="2:11" x14ac:dyDescent="0.3">
      <c r="B119" s="2">
        <v>1118</v>
      </c>
      <c r="C119" s="2" t="s">
        <v>13</v>
      </c>
      <c r="D119" s="2" t="s">
        <v>19</v>
      </c>
      <c r="E119" s="2" t="s">
        <v>21</v>
      </c>
      <c r="F119" s="6">
        <v>33487</v>
      </c>
      <c r="G119" s="2">
        <v>4839</v>
      </c>
      <c r="H119" s="2">
        <v>2</v>
      </c>
      <c r="I119" s="14">
        <f t="shared" si="3"/>
        <v>38326</v>
      </c>
      <c r="J119" s="26" t="str">
        <f t="shared" si="4"/>
        <v>low</v>
      </c>
      <c r="K119" s="2" t="str">
        <f t="shared" si="5"/>
        <v>2000</v>
      </c>
    </row>
    <row r="120" spans="2:11" x14ac:dyDescent="0.3">
      <c r="B120" s="2">
        <v>1119</v>
      </c>
      <c r="C120" s="2" t="s">
        <v>29</v>
      </c>
      <c r="D120" s="2" t="s">
        <v>19</v>
      </c>
      <c r="E120" s="2" t="s">
        <v>9</v>
      </c>
      <c r="F120" s="6">
        <v>25317</v>
      </c>
      <c r="G120" s="2">
        <v>4802</v>
      </c>
      <c r="H120" s="2">
        <v>6</v>
      </c>
      <c r="I120" s="14">
        <f t="shared" si="3"/>
        <v>30119</v>
      </c>
      <c r="J120" s="26" t="str">
        <f t="shared" si="4"/>
        <v>low</v>
      </c>
      <c r="K120" s="2" t="str">
        <f t="shared" si="5"/>
        <v>5000</v>
      </c>
    </row>
    <row r="121" spans="2:11" x14ac:dyDescent="0.3">
      <c r="B121" s="2">
        <v>1120</v>
      </c>
      <c r="C121" s="2" t="s">
        <v>28</v>
      </c>
      <c r="D121" s="2" t="s">
        <v>8</v>
      </c>
      <c r="E121" s="2" t="s">
        <v>9</v>
      </c>
      <c r="F121" s="6">
        <v>28287</v>
      </c>
      <c r="G121" s="2">
        <v>8969</v>
      </c>
      <c r="H121" s="2">
        <v>7</v>
      </c>
      <c r="I121" s="14">
        <f t="shared" si="3"/>
        <v>37256</v>
      </c>
      <c r="J121" s="26" t="str">
        <f t="shared" si="4"/>
        <v>low</v>
      </c>
      <c r="K121" s="2" t="str">
        <f t="shared" si="5"/>
        <v>5000</v>
      </c>
    </row>
    <row r="122" spans="2:11" x14ac:dyDescent="0.3">
      <c r="B122" s="2">
        <v>1121</v>
      </c>
      <c r="C122" s="2" t="s">
        <v>29</v>
      </c>
      <c r="D122" s="2" t="s">
        <v>19</v>
      </c>
      <c r="E122" s="2" t="s">
        <v>21</v>
      </c>
      <c r="F122" s="6">
        <v>35399</v>
      </c>
      <c r="G122" s="2">
        <v>9317</v>
      </c>
      <c r="H122" s="2">
        <v>8</v>
      </c>
      <c r="I122" s="14">
        <f t="shared" si="3"/>
        <v>44716</v>
      </c>
      <c r="J122" s="26" t="str">
        <f t="shared" si="4"/>
        <v>low</v>
      </c>
      <c r="K122" s="2" t="str">
        <f t="shared" si="5"/>
        <v>5000</v>
      </c>
    </row>
    <row r="123" spans="2:11" x14ac:dyDescent="0.3">
      <c r="B123" s="2">
        <v>1122</v>
      </c>
      <c r="C123" s="2" t="s">
        <v>24</v>
      </c>
      <c r="D123" s="2" t="s">
        <v>14</v>
      </c>
      <c r="E123" s="2" t="s">
        <v>15</v>
      </c>
      <c r="F123" s="6">
        <v>46599</v>
      </c>
      <c r="G123" s="2">
        <v>4074</v>
      </c>
      <c r="H123" s="2">
        <v>10</v>
      </c>
      <c r="I123" s="14">
        <f t="shared" si="3"/>
        <v>50673</v>
      </c>
      <c r="J123" s="26" t="str">
        <f t="shared" si="4"/>
        <v>low</v>
      </c>
      <c r="K123" s="2" t="str">
        <f t="shared" si="5"/>
        <v>5000</v>
      </c>
    </row>
    <row r="124" spans="2:11" x14ac:dyDescent="0.3">
      <c r="B124" s="2">
        <v>1123</v>
      </c>
      <c r="C124" s="2" t="s">
        <v>20</v>
      </c>
      <c r="D124" s="2" t="s">
        <v>11</v>
      </c>
      <c r="E124" s="2" t="s">
        <v>12</v>
      </c>
      <c r="F124" s="6">
        <v>59734</v>
      </c>
      <c r="G124" s="2">
        <v>3246</v>
      </c>
      <c r="H124" s="2">
        <v>5</v>
      </c>
      <c r="I124" s="14">
        <f t="shared" si="3"/>
        <v>62980</v>
      </c>
      <c r="J124" s="26" t="str">
        <f t="shared" si="4"/>
        <v>high</v>
      </c>
      <c r="K124" s="2" t="str">
        <f t="shared" si="5"/>
        <v>2000</v>
      </c>
    </row>
    <row r="125" spans="2:11" x14ac:dyDescent="0.3">
      <c r="B125" s="2">
        <v>1124</v>
      </c>
      <c r="C125" s="2" t="s">
        <v>22</v>
      </c>
      <c r="D125" s="2" t="s">
        <v>8</v>
      </c>
      <c r="E125" s="2" t="s">
        <v>12</v>
      </c>
      <c r="F125" s="6">
        <v>25152</v>
      </c>
      <c r="G125" s="2">
        <v>5992</v>
      </c>
      <c r="H125" s="2">
        <v>1</v>
      </c>
      <c r="I125" s="14">
        <f t="shared" si="3"/>
        <v>31144</v>
      </c>
      <c r="J125" s="26" t="str">
        <f t="shared" si="4"/>
        <v>low</v>
      </c>
      <c r="K125" s="2" t="str">
        <f t="shared" si="5"/>
        <v>2000</v>
      </c>
    </row>
    <row r="126" spans="2:11" x14ac:dyDescent="0.3">
      <c r="B126" s="2">
        <v>1125</v>
      </c>
      <c r="C126" s="2" t="s">
        <v>32</v>
      </c>
      <c r="D126" s="2" t="s">
        <v>11</v>
      </c>
      <c r="E126" s="2" t="s">
        <v>21</v>
      </c>
      <c r="F126" s="6">
        <v>38456</v>
      </c>
      <c r="G126" s="2">
        <v>2384</v>
      </c>
      <c r="H126" s="2">
        <v>9</v>
      </c>
      <c r="I126" s="14">
        <f t="shared" si="3"/>
        <v>40840</v>
      </c>
      <c r="J126" s="26" t="str">
        <f t="shared" si="4"/>
        <v>low</v>
      </c>
      <c r="K126" s="2" t="str">
        <f t="shared" si="5"/>
        <v>5000</v>
      </c>
    </row>
    <row r="127" spans="2:11" x14ac:dyDescent="0.3">
      <c r="B127" s="2">
        <v>1126</v>
      </c>
      <c r="C127" s="2" t="s">
        <v>13</v>
      </c>
      <c r="D127" s="2" t="s">
        <v>11</v>
      </c>
      <c r="E127" s="2" t="s">
        <v>15</v>
      </c>
      <c r="F127" s="6">
        <v>71495</v>
      </c>
      <c r="G127" s="2">
        <v>5935</v>
      </c>
      <c r="H127" s="2">
        <v>5</v>
      </c>
      <c r="I127" s="14">
        <f t="shared" si="3"/>
        <v>77430</v>
      </c>
      <c r="J127" s="26" t="str">
        <f t="shared" si="4"/>
        <v>high</v>
      </c>
      <c r="K127" s="2" t="str">
        <f t="shared" si="5"/>
        <v>2000</v>
      </c>
    </row>
    <row r="128" spans="2:11" x14ac:dyDescent="0.3">
      <c r="B128" s="2">
        <v>1127</v>
      </c>
      <c r="C128" s="2" t="s">
        <v>20</v>
      </c>
      <c r="D128" s="2" t="s">
        <v>8</v>
      </c>
      <c r="E128" s="2" t="s">
        <v>9</v>
      </c>
      <c r="F128" s="6">
        <v>77769</v>
      </c>
      <c r="G128" s="2">
        <v>1746</v>
      </c>
      <c r="H128" s="2">
        <v>9</v>
      </c>
      <c r="I128" s="14">
        <f t="shared" si="3"/>
        <v>79515</v>
      </c>
      <c r="J128" s="26" t="str">
        <f t="shared" si="4"/>
        <v>high</v>
      </c>
      <c r="K128" s="2" t="str">
        <f t="shared" si="5"/>
        <v>5000</v>
      </c>
    </row>
    <row r="129" spans="2:11" x14ac:dyDescent="0.3">
      <c r="B129" s="2">
        <v>1128</v>
      </c>
      <c r="C129" s="2" t="s">
        <v>7</v>
      </c>
      <c r="D129" s="2" t="s">
        <v>8</v>
      </c>
      <c r="E129" s="2" t="s">
        <v>9</v>
      </c>
      <c r="F129" s="6">
        <v>31202</v>
      </c>
      <c r="G129" s="2">
        <v>6127</v>
      </c>
      <c r="H129" s="2">
        <v>4</v>
      </c>
      <c r="I129" s="14">
        <f t="shared" si="3"/>
        <v>37329</v>
      </c>
      <c r="J129" s="26" t="str">
        <f t="shared" si="4"/>
        <v>low</v>
      </c>
      <c r="K129" s="2" t="str">
        <f t="shared" si="5"/>
        <v>2000</v>
      </c>
    </row>
    <row r="130" spans="2:11" x14ac:dyDescent="0.3">
      <c r="B130" s="2">
        <v>1129</v>
      </c>
      <c r="C130" s="2" t="s">
        <v>30</v>
      </c>
      <c r="D130" s="2" t="s">
        <v>11</v>
      </c>
      <c r="E130" s="2" t="s">
        <v>12</v>
      </c>
      <c r="F130" s="6">
        <v>32732</v>
      </c>
      <c r="G130" s="2">
        <v>7132</v>
      </c>
      <c r="H130" s="2">
        <v>2</v>
      </c>
      <c r="I130" s="14">
        <f t="shared" si="3"/>
        <v>39864</v>
      </c>
      <c r="J130" s="26" t="str">
        <f t="shared" si="4"/>
        <v>low</v>
      </c>
      <c r="K130" s="2" t="str">
        <f t="shared" si="5"/>
        <v>2000</v>
      </c>
    </row>
    <row r="131" spans="2:11" x14ac:dyDescent="0.3">
      <c r="B131" s="2">
        <v>1130</v>
      </c>
      <c r="C131" s="2" t="s">
        <v>32</v>
      </c>
      <c r="D131" s="2" t="s">
        <v>11</v>
      </c>
      <c r="E131" s="2" t="s">
        <v>9</v>
      </c>
      <c r="F131" s="6">
        <v>62701</v>
      </c>
      <c r="G131" s="2">
        <v>9881</v>
      </c>
      <c r="H131" s="2">
        <v>6</v>
      </c>
      <c r="I131" s="14">
        <f t="shared" ref="I131:I194" si="6">F131+G131</f>
        <v>72582</v>
      </c>
      <c r="J131" s="26" t="str">
        <f t="shared" ref="J131:J194" si="7">IF(F131&gt;50000, "high", "low")</f>
        <v>high</v>
      </c>
      <c r="K131" s="2" t="str">
        <f t="shared" ref="K131:K194" si="8">IF(H131&gt;5, "5000", "2000")</f>
        <v>5000</v>
      </c>
    </row>
    <row r="132" spans="2:11" x14ac:dyDescent="0.3">
      <c r="B132" s="2">
        <v>1131</v>
      </c>
      <c r="C132" s="2" t="s">
        <v>24</v>
      </c>
      <c r="D132" s="2" t="s">
        <v>14</v>
      </c>
      <c r="E132" s="2" t="s">
        <v>9</v>
      </c>
      <c r="F132" s="6">
        <v>43824</v>
      </c>
      <c r="G132" s="2">
        <v>3196</v>
      </c>
      <c r="H132" s="2">
        <v>2</v>
      </c>
      <c r="I132" s="14">
        <f t="shared" si="6"/>
        <v>47020</v>
      </c>
      <c r="J132" s="26" t="str">
        <f t="shared" si="7"/>
        <v>low</v>
      </c>
      <c r="K132" s="2" t="str">
        <f t="shared" si="8"/>
        <v>2000</v>
      </c>
    </row>
    <row r="133" spans="2:11" x14ac:dyDescent="0.3">
      <c r="B133" s="2">
        <v>1132</v>
      </c>
      <c r="C133" s="2" t="s">
        <v>13</v>
      </c>
      <c r="D133" s="2" t="s">
        <v>8</v>
      </c>
      <c r="E133" s="2" t="s">
        <v>9</v>
      </c>
      <c r="F133" s="6">
        <v>70362</v>
      </c>
      <c r="G133" s="2">
        <v>5310</v>
      </c>
      <c r="H133" s="2">
        <v>6</v>
      </c>
      <c r="I133" s="14">
        <f t="shared" si="6"/>
        <v>75672</v>
      </c>
      <c r="J133" s="26" t="str">
        <f t="shared" si="7"/>
        <v>high</v>
      </c>
      <c r="K133" s="2" t="str">
        <f t="shared" si="8"/>
        <v>5000</v>
      </c>
    </row>
    <row r="134" spans="2:11" x14ac:dyDescent="0.3">
      <c r="B134" s="2">
        <v>1133</v>
      </c>
      <c r="C134" s="2" t="s">
        <v>18</v>
      </c>
      <c r="D134" s="2" t="s">
        <v>19</v>
      </c>
      <c r="E134" s="2" t="s">
        <v>9</v>
      </c>
      <c r="F134" s="6">
        <v>66281</v>
      </c>
      <c r="G134" s="2">
        <v>9057</v>
      </c>
      <c r="H134" s="2">
        <v>9</v>
      </c>
      <c r="I134" s="14">
        <f t="shared" si="6"/>
        <v>75338</v>
      </c>
      <c r="J134" s="26" t="str">
        <f t="shared" si="7"/>
        <v>high</v>
      </c>
      <c r="K134" s="2" t="str">
        <f t="shared" si="8"/>
        <v>5000</v>
      </c>
    </row>
    <row r="135" spans="2:11" x14ac:dyDescent="0.3">
      <c r="B135" s="2">
        <v>1134</v>
      </c>
      <c r="C135" s="2" t="s">
        <v>20</v>
      </c>
      <c r="D135" s="2" t="s">
        <v>11</v>
      </c>
      <c r="E135" s="2" t="s">
        <v>15</v>
      </c>
      <c r="F135" s="6">
        <v>62150</v>
      </c>
      <c r="G135" s="2">
        <v>5194</v>
      </c>
      <c r="H135" s="2">
        <v>5</v>
      </c>
      <c r="I135" s="14">
        <f t="shared" si="6"/>
        <v>67344</v>
      </c>
      <c r="J135" s="26" t="str">
        <f t="shared" si="7"/>
        <v>high</v>
      </c>
      <c r="K135" s="2" t="str">
        <f t="shared" si="8"/>
        <v>2000</v>
      </c>
    </row>
    <row r="136" spans="2:11" x14ac:dyDescent="0.3">
      <c r="B136" s="2">
        <v>1135</v>
      </c>
      <c r="C136" s="2" t="s">
        <v>29</v>
      </c>
      <c r="D136" s="2" t="s">
        <v>14</v>
      </c>
      <c r="E136" s="2" t="s">
        <v>15</v>
      </c>
      <c r="F136" s="6">
        <v>68466</v>
      </c>
      <c r="G136" s="2">
        <v>7926</v>
      </c>
      <c r="H136" s="2">
        <v>6</v>
      </c>
      <c r="I136" s="14">
        <f t="shared" si="6"/>
        <v>76392</v>
      </c>
      <c r="J136" s="26" t="str">
        <f t="shared" si="7"/>
        <v>high</v>
      </c>
      <c r="K136" s="2" t="str">
        <f t="shared" si="8"/>
        <v>5000</v>
      </c>
    </row>
    <row r="137" spans="2:11" x14ac:dyDescent="0.3">
      <c r="B137" s="2">
        <v>1136</v>
      </c>
      <c r="C137" s="2" t="s">
        <v>24</v>
      </c>
      <c r="D137" s="2" t="s">
        <v>11</v>
      </c>
      <c r="E137" s="2" t="s">
        <v>12</v>
      </c>
      <c r="F137" s="6">
        <v>35905</v>
      </c>
      <c r="G137" s="2">
        <v>8168</v>
      </c>
      <c r="H137" s="2">
        <v>5</v>
      </c>
      <c r="I137" s="14">
        <f t="shared" si="6"/>
        <v>44073</v>
      </c>
      <c r="J137" s="26" t="str">
        <f t="shared" si="7"/>
        <v>low</v>
      </c>
      <c r="K137" s="2" t="str">
        <f t="shared" si="8"/>
        <v>2000</v>
      </c>
    </row>
    <row r="138" spans="2:11" x14ac:dyDescent="0.3">
      <c r="B138" s="2">
        <v>1137</v>
      </c>
      <c r="C138" s="2" t="s">
        <v>26</v>
      </c>
      <c r="D138" s="2" t="s">
        <v>11</v>
      </c>
      <c r="E138" s="2" t="s">
        <v>15</v>
      </c>
      <c r="F138" s="6">
        <v>29337</v>
      </c>
      <c r="G138" s="2">
        <v>2840</v>
      </c>
      <c r="H138" s="2">
        <v>1</v>
      </c>
      <c r="I138" s="14">
        <f t="shared" si="6"/>
        <v>32177</v>
      </c>
      <c r="J138" s="26" t="str">
        <f t="shared" si="7"/>
        <v>low</v>
      </c>
      <c r="K138" s="2" t="str">
        <f t="shared" si="8"/>
        <v>2000</v>
      </c>
    </row>
    <row r="139" spans="2:11" x14ac:dyDescent="0.3">
      <c r="B139" s="2">
        <v>1138</v>
      </c>
      <c r="C139" s="2" t="s">
        <v>29</v>
      </c>
      <c r="D139" s="2" t="s">
        <v>8</v>
      </c>
      <c r="E139" s="2" t="s">
        <v>9</v>
      </c>
      <c r="F139" s="6">
        <v>62891</v>
      </c>
      <c r="G139" s="2">
        <v>7534</v>
      </c>
      <c r="H139" s="2">
        <v>7</v>
      </c>
      <c r="I139" s="14">
        <f t="shared" si="6"/>
        <v>70425</v>
      </c>
      <c r="J139" s="26" t="str">
        <f t="shared" si="7"/>
        <v>high</v>
      </c>
      <c r="K139" s="2" t="str">
        <f t="shared" si="8"/>
        <v>5000</v>
      </c>
    </row>
    <row r="140" spans="2:11" x14ac:dyDescent="0.3">
      <c r="B140" s="2">
        <v>1139</v>
      </c>
      <c r="C140" s="2" t="s">
        <v>7</v>
      </c>
      <c r="D140" s="2" t="s">
        <v>8</v>
      </c>
      <c r="E140" s="2" t="s">
        <v>12</v>
      </c>
      <c r="F140" s="6">
        <v>70278</v>
      </c>
      <c r="G140" s="2">
        <v>3722</v>
      </c>
      <c r="H140" s="2">
        <v>4</v>
      </c>
      <c r="I140" s="14">
        <f t="shared" si="6"/>
        <v>74000</v>
      </c>
      <c r="J140" s="26" t="str">
        <f t="shared" si="7"/>
        <v>high</v>
      </c>
      <c r="K140" s="2" t="str">
        <f t="shared" si="8"/>
        <v>2000</v>
      </c>
    </row>
    <row r="141" spans="2:11" x14ac:dyDescent="0.3">
      <c r="B141" s="2">
        <v>1140</v>
      </c>
      <c r="C141" s="2" t="s">
        <v>30</v>
      </c>
      <c r="D141" s="2" t="s">
        <v>14</v>
      </c>
      <c r="E141" s="2" t="s">
        <v>21</v>
      </c>
      <c r="F141" s="6">
        <v>42516</v>
      </c>
      <c r="G141" s="2">
        <v>4527</v>
      </c>
      <c r="H141" s="2">
        <v>2</v>
      </c>
      <c r="I141" s="14">
        <f t="shared" si="6"/>
        <v>47043</v>
      </c>
      <c r="J141" s="26" t="str">
        <f t="shared" si="7"/>
        <v>low</v>
      </c>
      <c r="K141" s="2" t="str">
        <f t="shared" si="8"/>
        <v>2000</v>
      </c>
    </row>
    <row r="142" spans="2:11" x14ac:dyDescent="0.3">
      <c r="B142" s="2">
        <v>1141</v>
      </c>
      <c r="C142" s="2" t="s">
        <v>33</v>
      </c>
      <c r="D142" s="2" t="s">
        <v>8</v>
      </c>
      <c r="E142" s="2" t="s">
        <v>21</v>
      </c>
      <c r="F142" s="6">
        <v>47585</v>
      </c>
      <c r="G142" s="2">
        <v>9569</v>
      </c>
      <c r="H142" s="2">
        <v>5</v>
      </c>
      <c r="I142" s="14">
        <f t="shared" si="6"/>
        <v>57154</v>
      </c>
      <c r="J142" s="26" t="str">
        <f t="shared" si="7"/>
        <v>low</v>
      </c>
      <c r="K142" s="2" t="str">
        <f t="shared" si="8"/>
        <v>2000</v>
      </c>
    </row>
    <row r="143" spans="2:11" x14ac:dyDescent="0.3">
      <c r="B143" s="2">
        <v>1142</v>
      </c>
      <c r="C143" s="2" t="s">
        <v>17</v>
      </c>
      <c r="D143" s="2" t="s">
        <v>11</v>
      </c>
      <c r="E143" s="2" t="s">
        <v>12</v>
      </c>
      <c r="F143" s="6">
        <v>39651</v>
      </c>
      <c r="G143" s="2">
        <v>1339</v>
      </c>
      <c r="H143" s="2">
        <v>6</v>
      </c>
      <c r="I143" s="14">
        <f t="shared" si="6"/>
        <v>40990</v>
      </c>
      <c r="J143" s="26" t="str">
        <f t="shared" si="7"/>
        <v>low</v>
      </c>
      <c r="K143" s="2" t="str">
        <f t="shared" si="8"/>
        <v>5000</v>
      </c>
    </row>
    <row r="144" spans="2:11" x14ac:dyDescent="0.3">
      <c r="B144" s="2">
        <v>1143</v>
      </c>
      <c r="C144" s="2" t="s">
        <v>23</v>
      </c>
      <c r="D144" s="2" t="s">
        <v>14</v>
      </c>
      <c r="E144" s="2" t="s">
        <v>12</v>
      </c>
      <c r="F144" s="6">
        <v>57341</v>
      </c>
      <c r="G144" s="2">
        <v>4129</v>
      </c>
      <c r="H144" s="2">
        <v>4</v>
      </c>
      <c r="I144" s="14">
        <f t="shared" si="6"/>
        <v>61470</v>
      </c>
      <c r="J144" s="26" t="str">
        <f t="shared" si="7"/>
        <v>high</v>
      </c>
      <c r="K144" s="2" t="str">
        <f t="shared" si="8"/>
        <v>2000</v>
      </c>
    </row>
    <row r="145" spans="2:11" x14ac:dyDescent="0.3">
      <c r="B145" s="2">
        <v>1144</v>
      </c>
      <c r="C145" s="2" t="s">
        <v>16</v>
      </c>
      <c r="D145" s="2" t="s">
        <v>19</v>
      </c>
      <c r="E145" s="2" t="s">
        <v>12</v>
      </c>
      <c r="F145" s="6">
        <v>24667</v>
      </c>
      <c r="G145" s="2">
        <v>7693</v>
      </c>
      <c r="H145" s="2">
        <v>3</v>
      </c>
      <c r="I145" s="14">
        <f t="shared" si="6"/>
        <v>32360</v>
      </c>
      <c r="J145" s="26" t="str">
        <f t="shared" si="7"/>
        <v>low</v>
      </c>
      <c r="K145" s="2" t="str">
        <f t="shared" si="8"/>
        <v>2000</v>
      </c>
    </row>
    <row r="146" spans="2:11" x14ac:dyDescent="0.3">
      <c r="B146" s="2">
        <v>1145</v>
      </c>
      <c r="C146" s="2" t="s">
        <v>24</v>
      </c>
      <c r="D146" s="2" t="s">
        <v>19</v>
      </c>
      <c r="E146" s="2" t="s">
        <v>21</v>
      </c>
      <c r="F146" s="6">
        <v>21739</v>
      </c>
      <c r="G146" s="2">
        <v>7379</v>
      </c>
      <c r="H146" s="2">
        <v>8</v>
      </c>
      <c r="I146" s="14">
        <f t="shared" si="6"/>
        <v>29118</v>
      </c>
      <c r="J146" s="26" t="str">
        <f t="shared" si="7"/>
        <v>low</v>
      </c>
      <c r="K146" s="2" t="str">
        <f t="shared" si="8"/>
        <v>5000</v>
      </c>
    </row>
    <row r="147" spans="2:11" x14ac:dyDescent="0.3">
      <c r="B147" s="2">
        <v>1146</v>
      </c>
      <c r="C147" s="2" t="s">
        <v>22</v>
      </c>
      <c r="D147" s="2" t="s">
        <v>14</v>
      </c>
      <c r="E147" s="2" t="s">
        <v>21</v>
      </c>
      <c r="F147" s="6">
        <v>58099</v>
      </c>
      <c r="G147" s="2">
        <v>5243</v>
      </c>
      <c r="H147" s="2">
        <v>5</v>
      </c>
      <c r="I147" s="14">
        <f t="shared" si="6"/>
        <v>63342</v>
      </c>
      <c r="J147" s="26" t="str">
        <f t="shared" si="7"/>
        <v>high</v>
      </c>
      <c r="K147" s="2" t="str">
        <f t="shared" si="8"/>
        <v>2000</v>
      </c>
    </row>
    <row r="148" spans="2:11" x14ac:dyDescent="0.3">
      <c r="B148" s="2">
        <v>1147</v>
      </c>
      <c r="C148" s="2" t="s">
        <v>13</v>
      </c>
      <c r="D148" s="2" t="s">
        <v>14</v>
      </c>
      <c r="E148" s="2" t="s">
        <v>15</v>
      </c>
      <c r="F148" s="6">
        <v>47929</v>
      </c>
      <c r="G148" s="2">
        <v>4306</v>
      </c>
      <c r="H148" s="2">
        <v>6</v>
      </c>
      <c r="I148" s="14">
        <f t="shared" si="6"/>
        <v>52235</v>
      </c>
      <c r="J148" s="26" t="str">
        <f t="shared" si="7"/>
        <v>low</v>
      </c>
      <c r="K148" s="2" t="str">
        <f t="shared" si="8"/>
        <v>5000</v>
      </c>
    </row>
    <row r="149" spans="2:11" x14ac:dyDescent="0.3">
      <c r="B149" s="2">
        <v>1148</v>
      </c>
      <c r="C149" s="2" t="s">
        <v>27</v>
      </c>
      <c r="D149" s="2" t="s">
        <v>8</v>
      </c>
      <c r="E149" s="2" t="s">
        <v>21</v>
      </c>
      <c r="F149" s="6">
        <v>22609</v>
      </c>
      <c r="G149" s="2">
        <v>7674</v>
      </c>
      <c r="H149" s="2">
        <v>7</v>
      </c>
      <c r="I149" s="14">
        <f t="shared" si="6"/>
        <v>30283</v>
      </c>
      <c r="J149" s="26" t="str">
        <f t="shared" si="7"/>
        <v>low</v>
      </c>
      <c r="K149" s="2" t="str">
        <f t="shared" si="8"/>
        <v>5000</v>
      </c>
    </row>
    <row r="150" spans="2:11" x14ac:dyDescent="0.3">
      <c r="B150" s="2">
        <v>1149</v>
      </c>
      <c r="C150" s="2" t="s">
        <v>34</v>
      </c>
      <c r="D150" s="2" t="s">
        <v>19</v>
      </c>
      <c r="E150" s="2" t="s">
        <v>15</v>
      </c>
      <c r="F150" s="6">
        <v>46977</v>
      </c>
      <c r="G150" s="2">
        <v>3949</v>
      </c>
      <c r="H150" s="2">
        <v>3</v>
      </c>
      <c r="I150" s="14">
        <f t="shared" si="6"/>
        <v>50926</v>
      </c>
      <c r="J150" s="26" t="str">
        <f t="shared" si="7"/>
        <v>low</v>
      </c>
      <c r="K150" s="2" t="str">
        <f t="shared" si="8"/>
        <v>2000</v>
      </c>
    </row>
    <row r="151" spans="2:11" x14ac:dyDescent="0.3">
      <c r="B151" s="2">
        <v>1150</v>
      </c>
      <c r="C151" s="2" t="s">
        <v>18</v>
      </c>
      <c r="D151" s="2" t="s">
        <v>19</v>
      </c>
      <c r="E151" s="2" t="s">
        <v>21</v>
      </c>
      <c r="F151" s="6">
        <v>60494</v>
      </c>
      <c r="G151" s="2">
        <v>4222</v>
      </c>
      <c r="H151" s="2">
        <v>5</v>
      </c>
      <c r="I151" s="14">
        <f t="shared" si="6"/>
        <v>64716</v>
      </c>
      <c r="J151" s="26" t="str">
        <f t="shared" si="7"/>
        <v>high</v>
      </c>
      <c r="K151" s="2" t="str">
        <f t="shared" si="8"/>
        <v>2000</v>
      </c>
    </row>
    <row r="152" spans="2:11" x14ac:dyDescent="0.3">
      <c r="B152" s="2">
        <v>1151</v>
      </c>
      <c r="C152" s="2" t="s">
        <v>34</v>
      </c>
      <c r="D152" s="2" t="s">
        <v>11</v>
      </c>
      <c r="E152" s="2" t="s">
        <v>15</v>
      </c>
      <c r="F152" s="6">
        <v>76345</v>
      </c>
      <c r="G152" s="2">
        <v>4343</v>
      </c>
      <c r="H152" s="2">
        <v>3</v>
      </c>
      <c r="I152" s="14">
        <f t="shared" si="6"/>
        <v>80688</v>
      </c>
      <c r="J152" s="26" t="str">
        <f t="shared" si="7"/>
        <v>high</v>
      </c>
      <c r="K152" s="2" t="str">
        <f t="shared" si="8"/>
        <v>2000</v>
      </c>
    </row>
    <row r="153" spans="2:11" x14ac:dyDescent="0.3">
      <c r="B153" s="2">
        <v>1152</v>
      </c>
      <c r="C153" s="2" t="s">
        <v>10</v>
      </c>
      <c r="D153" s="2" t="s">
        <v>19</v>
      </c>
      <c r="E153" s="2" t="s">
        <v>12</v>
      </c>
      <c r="F153" s="6">
        <v>57626</v>
      </c>
      <c r="G153" s="2">
        <v>6698</v>
      </c>
      <c r="H153" s="2">
        <v>9</v>
      </c>
      <c r="I153" s="14">
        <f t="shared" si="6"/>
        <v>64324</v>
      </c>
      <c r="J153" s="26" t="str">
        <f t="shared" si="7"/>
        <v>high</v>
      </c>
      <c r="K153" s="2" t="str">
        <f t="shared" si="8"/>
        <v>5000</v>
      </c>
    </row>
    <row r="154" spans="2:11" x14ac:dyDescent="0.3">
      <c r="B154" s="2">
        <v>1153</v>
      </c>
      <c r="C154" s="2" t="s">
        <v>29</v>
      </c>
      <c r="D154" s="2" t="s">
        <v>19</v>
      </c>
      <c r="E154" s="2" t="s">
        <v>12</v>
      </c>
      <c r="F154" s="6">
        <v>44248</v>
      </c>
      <c r="G154" s="2">
        <v>3806</v>
      </c>
      <c r="H154" s="2">
        <v>8</v>
      </c>
      <c r="I154" s="14">
        <f t="shared" si="6"/>
        <v>48054</v>
      </c>
      <c r="J154" s="26" t="str">
        <f t="shared" si="7"/>
        <v>low</v>
      </c>
      <c r="K154" s="2" t="str">
        <f t="shared" si="8"/>
        <v>5000</v>
      </c>
    </row>
    <row r="155" spans="2:11" x14ac:dyDescent="0.3">
      <c r="B155" s="2">
        <v>1154</v>
      </c>
      <c r="C155" s="2" t="s">
        <v>27</v>
      </c>
      <c r="D155" s="2" t="s">
        <v>19</v>
      </c>
      <c r="E155" s="2" t="s">
        <v>15</v>
      </c>
      <c r="F155" s="6">
        <v>78746</v>
      </c>
      <c r="G155" s="2">
        <v>1003</v>
      </c>
      <c r="H155" s="2">
        <v>10</v>
      </c>
      <c r="I155" s="14">
        <f t="shared" si="6"/>
        <v>79749</v>
      </c>
      <c r="J155" s="26" t="str">
        <f t="shared" si="7"/>
        <v>high</v>
      </c>
      <c r="K155" s="2" t="str">
        <f t="shared" si="8"/>
        <v>5000</v>
      </c>
    </row>
    <row r="156" spans="2:11" x14ac:dyDescent="0.3">
      <c r="B156" s="2">
        <v>1155</v>
      </c>
      <c r="C156" s="2" t="s">
        <v>20</v>
      </c>
      <c r="D156" s="2" t="s">
        <v>19</v>
      </c>
      <c r="E156" s="2" t="s">
        <v>21</v>
      </c>
      <c r="F156" s="6">
        <v>33611</v>
      </c>
      <c r="G156" s="2">
        <v>6183</v>
      </c>
      <c r="H156" s="2">
        <v>7</v>
      </c>
      <c r="I156" s="14">
        <f t="shared" si="6"/>
        <v>39794</v>
      </c>
      <c r="J156" s="26" t="str">
        <f t="shared" si="7"/>
        <v>low</v>
      </c>
      <c r="K156" s="2" t="str">
        <f t="shared" si="8"/>
        <v>5000</v>
      </c>
    </row>
    <row r="157" spans="2:11" x14ac:dyDescent="0.3">
      <c r="B157" s="2">
        <v>1156</v>
      </c>
      <c r="C157" s="2" t="s">
        <v>29</v>
      </c>
      <c r="D157" s="2" t="s">
        <v>14</v>
      </c>
      <c r="E157" s="2" t="s">
        <v>21</v>
      </c>
      <c r="F157" s="6">
        <v>33415</v>
      </c>
      <c r="G157" s="2">
        <v>7380</v>
      </c>
      <c r="H157" s="2">
        <v>1</v>
      </c>
      <c r="I157" s="14">
        <f t="shared" si="6"/>
        <v>40795</v>
      </c>
      <c r="J157" s="26" t="str">
        <f t="shared" si="7"/>
        <v>low</v>
      </c>
      <c r="K157" s="2" t="str">
        <f t="shared" si="8"/>
        <v>2000</v>
      </c>
    </row>
    <row r="158" spans="2:11" x14ac:dyDescent="0.3">
      <c r="B158" s="2">
        <v>1157</v>
      </c>
      <c r="C158" s="2" t="s">
        <v>16</v>
      </c>
      <c r="D158" s="2" t="s">
        <v>14</v>
      </c>
      <c r="E158" s="2" t="s">
        <v>12</v>
      </c>
      <c r="F158" s="6">
        <v>31503</v>
      </c>
      <c r="G158" s="2">
        <v>3768</v>
      </c>
      <c r="H158" s="2">
        <v>2</v>
      </c>
      <c r="I158" s="14">
        <f t="shared" si="6"/>
        <v>35271</v>
      </c>
      <c r="J158" s="26" t="str">
        <f t="shared" si="7"/>
        <v>low</v>
      </c>
      <c r="K158" s="2" t="str">
        <f t="shared" si="8"/>
        <v>2000</v>
      </c>
    </row>
    <row r="159" spans="2:11" x14ac:dyDescent="0.3">
      <c r="B159" s="2">
        <v>1158</v>
      </c>
      <c r="C159" s="2" t="s">
        <v>28</v>
      </c>
      <c r="D159" s="2" t="s">
        <v>19</v>
      </c>
      <c r="E159" s="2" t="s">
        <v>9</v>
      </c>
      <c r="F159" s="6">
        <v>54251</v>
      </c>
      <c r="G159" s="2">
        <v>6419</v>
      </c>
      <c r="H159" s="2">
        <v>5</v>
      </c>
      <c r="I159" s="14">
        <f t="shared" si="6"/>
        <v>60670</v>
      </c>
      <c r="J159" s="26" t="str">
        <f t="shared" si="7"/>
        <v>high</v>
      </c>
      <c r="K159" s="2" t="str">
        <f t="shared" si="8"/>
        <v>2000</v>
      </c>
    </row>
    <row r="160" spans="2:11" x14ac:dyDescent="0.3">
      <c r="B160" s="2">
        <v>1159</v>
      </c>
      <c r="C160" s="2" t="s">
        <v>17</v>
      </c>
      <c r="D160" s="2" t="s">
        <v>11</v>
      </c>
      <c r="E160" s="2" t="s">
        <v>9</v>
      </c>
      <c r="F160" s="6">
        <v>45175</v>
      </c>
      <c r="G160" s="2">
        <v>8040</v>
      </c>
      <c r="H160" s="2">
        <v>10</v>
      </c>
      <c r="I160" s="14">
        <f t="shared" si="6"/>
        <v>53215</v>
      </c>
      <c r="J160" s="26" t="str">
        <f t="shared" si="7"/>
        <v>low</v>
      </c>
      <c r="K160" s="2" t="str">
        <f t="shared" si="8"/>
        <v>5000</v>
      </c>
    </row>
    <row r="161" spans="2:11" x14ac:dyDescent="0.3">
      <c r="B161" s="2">
        <v>1160</v>
      </c>
      <c r="C161" s="2" t="s">
        <v>18</v>
      </c>
      <c r="D161" s="2" t="s">
        <v>8</v>
      </c>
      <c r="E161" s="2" t="s">
        <v>21</v>
      </c>
      <c r="F161" s="6">
        <v>70498</v>
      </c>
      <c r="G161" s="2">
        <v>5555</v>
      </c>
      <c r="H161" s="2">
        <v>9</v>
      </c>
      <c r="I161" s="14">
        <f t="shared" si="6"/>
        <v>76053</v>
      </c>
      <c r="J161" s="26" t="str">
        <f t="shared" si="7"/>
        <v>high</v>
      </c>
      <c r="K161" s="2" t="str">
        <f t="shared" si="8"/>
        <v>5000</v>
      </c>
    </row>
    <row r="162" spans="2:11" x14ac:dyDescent="0.3">
      <c r="B162" s="2">
        <v>1161</v>
      </c>
      <c r="C162" s="2" t="s">
        <v>29</v>
      </c>
      <c r="D162" s="2" t="s">
        <v>19</v>
      </c>
      <c r="E162" s="2" t="s">
        <v>12</v>
      </c>
      <c r="F162" s="6">
        <v>55331</v>
      </c>
      <c r="G162" s="2">
        <v>5247</v>
      </c>
      <c r="H162" s="2">
        <v>5</v>
      </c>
      <c r="I162" s="14">
        <f t="shared" si="6"/>
        <v>60578</v>
      </c>
      <c r="J162" s="26" t="str">
        <f t="shared" si="7"/>
        <v>high</v>
      </c>
      <c r="K162" s="2" t="str">
        <f t="shared" si="8"/>
        <v>2000</v>
      </c>
    </row>
    <row r="163" spans="2:11" x14ac:dyDescent="0.3">
      <c r="B163" s="2">
        <v>1162</v>
      </c>
      <c r="C163" s="2" t="s">
        <v>20</v>
      </c>
      <c r="D163" s="2" t="s">
        <v>19</v>
      </c>
      <c r="E163" s="2" t="s">
        <v>15</v>
      </c>
      <c r="F163" s="6">
        <v>64798</v>
      </c>
      <c r="G163" s="2">
        <v>9017</v>
      </c>
      <c r="H163" s="2">
        <v>5</v>
      </c>
      <c r="I163" s="14">
        <f t="shared" si="6"/>
        <v>73815</v>
      </c>
      <c r="J163" s="26" t="str">
        <f t="shared" si="7"/>
        <v>high</v>
      </c>
      <c r="K163" s="2" t="str">
        <f t="shared" si="8"/>
        <v>2000</v>
      </c>
    </row>
    <row r="164" spans="2:11" x14ac:dyDescent="0.3">
      <c r="B164" s="2">
        <v>1163</v>
      </c>
      <c r="C164" s="2" t="s">
        <v>30</v>
      </c>
      <c r="D164" s="2" t="s">
        <v>14</v>
      </c>
      <c r="E164" s="2" t="s">
        <v>15</v>
      </c>
      <c r="F164" s="6">
        <v>63306</v>
      </c>
      <c r="G164" s="2">
        <v>2001</v>
      </c>
      <c r="H164" s="2">
        <v>2</v>
      </c>
      <c r="I164" s="14">
        <f t="shared" si="6"/>
        <v>65307</v>
      </c>
      <c r="J164" s="26" t="str">
        <f t="shared" si="7"/>
        <v>high</v>
      </c>
      <c r="K164" s="2" t="str">
        <f t="shared" si="8"/>
        <v>2000</v>
      </c>
    </row>
    <row r="165" spans="2:11" x14ac:dyDescent="0.3">
      <c r="B165" s="2">
        <v>1164</v>
      </c>
      <c r="C165" s="2" t="s">
        <v>27</v>
      </c>
      <c r="D165" s="2" t="s">
        <v>14</v>
      </c>
      <c r="E165" s="2" t="s">
        <v>12</v>
      </c>
      <c r="F165" s="6">
        <v>71398</v>
      </c>
      <c r="G165" s="2">
        <v>5683</v>
      </c>
      <c r="H165" s="2">
        <v>6</v>
      </c>
      <c r="I165" s="14">
        <f t="shared" si="6"/>
        <v>77081</v>
      </c>
      <c r="J165" s="26" t="str">
        <f t="shared" si="7"/>
        <v>high</v>
      </c>
      <c r="K165" s="2" t="str">
        <f t="shared" si="8"/>
        <v>5000</v>
      </c>
    </row>
    <row r="166" spans="2:11" x14ac:dyDescent="0.3">
      <c r="B166" s="2">
        <v>1165</v>
      </c>
      <c r="C166" s="2" t="s">
        <v>26</v>
      </c>
      <c r="D166" s="2" t="s">
        <v>19</v>
      </c>
      <c r="E166" s="2" t="s">
        <v>9</v>
      </c>
      <c r="F166" s="6">
        <v>21242</v>
      </c>
      <c r="G166" s="2">
        <v>4151</v>
      </c>
      <c r="H166" s="2">
        <v>8</v>
      </c>
      <c r="I166" s="14">
        <f t="shared" si="6"/>
        <v>25393</v>
      </c>
      <c r="J166" s="26" t="str">
        <f t="shared" si="7"/>
        <v>low</v>
      </c>
      <c r="K166" s="2" t="str">
        <f t="shared" si="8"/>
        <v>5000</v>
      </c>
    </row>
    <row r="167" spans="2:11" x14ac:dyDescent="0.3">
      <c r="B167" s="2">
        <v>1166</v>
      </c>
      <c r="C167" s="2" t="s">
        <v>30</v>
      </c>
      <c r="D167" s="2" t="s">
        <v>14</v>
      </c>
      <c r="E167" s="2" t="s">
        <v>12</v>
      </c>
      <c r="F167" s="6">
        <v>46098</v>
      </c>
      <c r="G167" s="2">
        <v>2242</v>
      </c>
      <c r="H167" s="2">
        <v>2</v>
      </c>
      <c r="I167" s="14">
        <f t="shared" si="6"/>
        <v>48340</v>
      </c>
      <c r="J167" s="26" t="str">
        <f t="shared" si="7"/>
        <v>low</v>
      </c>
      <c r="K167" s="2" t="str">
        <f t="shared" si="8"/>
        <v>2000</v>
      </c>
    </row>
    <row r="168" spans="2:11" x14ac:dyDescent="0.3">
      <c r="B168" s="2">
        <v>1167</v>
      </c>
      <c r="C168" s="2" t="s">
        <v>34</v>
      </c>
      <c r="D168" s="2" t="s">
        <v>8</v>
      </c>
      <c r="E168" s="2" t="s">
        <v>15</v>
      </c>
      <c r="F168" s="6">
        <v>78975</v>
      </c>
      <c r="G168" s="2">
        <v>7971</v>
      </c>
      <c r="H168" s="2">
        <v>1</v>
      </c>
      <c r="I168" s="14">
        <f t="shared" si="6"/>
        <v>86946</v>
      </c>
      <c r="J168" s="26" t="str">
        <f t="shared" si="7"/>
        <v>high</v>
      </c>
      <c r="K168" s="2" t="str">
        <f t="shared" si="8"/>
        <v>2000</v>
      </c>
    </row>
    <row r="169" spans="2:11" x14ac:dyDescent="0.3">
      <c r="B169" s="2">
        <v>1168</v>
      </c>
      <c r="C169" s="2" t="s">
        <v>16</v>
      </c>
      <c r="D169" s="2" t="s">
        <v>19</v>
      </c>
      <c r="E169" s="2" t="s">
        <v>12</v>
      </c>
      <c r="F169" s="6">
        <v>26070</v>
      </c>
      <c r="G169" s="2">
        <v>6110</v>
      </c>
      <c r="H169" s="2">
        <v>8</v>
      </c>
      <c r="I169" s="14">
        <f t="shared" si="6"/>
        <v>32180</v>
      </c>
      <c r="J169" s="26" t="str">
        <f t="shared" si="7"/>
        <v>low</v>
      </c>
      <c r="K169" s="2" t="str">
        <f t="shared" si="8"/>
        <v>5000</v>
      </c>
    </row>
    <row r="170" spans="2:11" x14ac:dyDescent="0.3">
      <c r="B170" s="2">
        <v>1169</v>
      </c>
      <c r="C170" s="2" t="s">
        <v>25</v>
      </c>
      <c r="D170" s="2" t="s">
        <v>19</v>
      </c>
      <c r="E170" s="2" t="s">
        <v>9</v>
      </c>
      <c r="F170" s="6">
        <v>20631</v>
      </c>
      <c r="G170" s="2">
        <v>2822</v>
      </c>
      <c r="H170" s="2">
        <v>3</v>
      </c>
      <c r="I170" s="14">
        <f t="shared" si="6"/>
        <v>23453</v>
      </c>
      <c r="J170" s="26" t="str">
        <f t="shared" si="7"/>
        <v>low</v>
      </c>
      <c r="K170" s="2" t="str">
        <f t="shared" si="8"/>
        <v>2000</v>
      </c>
    </row>
    <row r="171" spans="2:11" x14ac:dyDescent="0.3">
      <c r="B171" s="2">
        <v>1170</v>
      </c>
      <c r="C171" s="2" t="s">
        <v>17</v>
      </c>
      <c r="D171" s="2" t="s">
        <v>19</v>
      </c>
      <c r="E171" s="2" t="s">
        <v>9</v>
      </c>
      <c r="F171" s="6">
        <v>35132</v>
      </c>
      <c r="G171" s="2">
        <v>8238</v>
      </c>
      <c r="H171" s="2">
        <v>3</v>
      </c>
      <c r="I171" s="14">
        <f t="shared" si="6"/>
        <v>43370</v>
      </c>
      <c r="J171" s="26" t="str">
        <f t="shared" si="7"/>
        <v>low</v>
      </c>
      <c r="K171" s="2" t="str">
        <f t="shared" si="8"/>
        <v>2000</v>
      </c>
    </row>
    <row r="172" spans="2:11" x14ac:dyDescent="0.3">
      <c r="B172" s="2">
        <v>1171</v>
      </c>
      <c r="C172" s="2" t="s">
        <v>27</v>
      </c>
      <c r="D172" s="2" t="s">
        <v>19</v>
      </c>
      <c r="E172" s="2" t="s">
        <v>21</v>
      </c>
      <c r="F172" s="6">
        <v>44462</v>
      </c>
      <c r="G172" s="2">
        <v>9032</v>
      </c>
      <c r="H172" s="2">
        <v>3</v>
      </c>
      <c r="I172" s="14">
        <f t="shared" si="6"/>
        <v>53494</v>
      </c>
      <c r="J172" s="26" t="str">
        <f t="shared" si="7"/>
        <v>low</v>
      </c>
      <c r="K172" s="2" t="str">
        <f t="shared" si="8"/>
        <v>2000</v>
      </c>
    </row>
    <row r="173" spans="2:11" x14ac:dyDescent="0.3">
      <c r="B173" s="2">
        <v>1172</v>
      </c>
      <c r="C173" s="2" t="s">
        <v>28</v>
      </c>
      <c r="D173" s="2" t="s">
        <v>11</v>
      </c>
      <c r="E173" s="2" t="s">
        <v>9</v>
      </c>
      <c r="F173" s="6">
        <v>34266</v>
      </c>
      <c r="G173" s="2">
        <v>3393</v>
      </c>
      <c r="H173" s="2">
        <v>8</v>
      </c>
      <c r="I173" s="14">
        <f t="shared" si="6"/>
        <v>37659</v>
      </c>
      <c r="J173" s="26" t="str">
        <f t="shared" si="7"/>
        <v>low</v>
      </c>
      <c r="K173" s="2" t="str">
        <f t="shared" si="8"/>
        <v>5000</v>
      </c>
    </row>
    <row r="174" spans="2:11" x14ac:dyDescent="0.3">
      <c r="B174" s="2">
        <v>1173</v>
      </c>
      <c r="C174" s="2" t="s">
        <v>13</v>
      </c>
      <c r="D174" s="2" t="s">
        <v>11</v>
      </c>
      <c r="E174" s="2" t="s">
        <v>21</v>
      </c>
      <c r="F174" s="6">
        <v>30560</v>
      </c>
      <c r="G174" s="2">
        <v>1838</v>
      </c>
      <c r="H174" s="2">
        <v>5</v>
      </c>
      <c r="I174" s="14">
        <f t="shared" si="6"/>
        <v>32398</v>
      </c>
      <c r="J174" s="26" t="str">
        <f t="shared" si="7"/>
        <v>low</v>
      </c>
      <c r="K174" s="2" t="str">
        <f t="shared" si="8"/>
        <v>2000</v>
      </c>
    </row>
    <row r="175" spans="2:11" x14ac:dyDescent="0.3">
      <c r="B175" s="2">
        <v>1174</v>
      </c>
      <c r="C175" s="2" t="s">
        <v>28</v>
      </c>
      <c r="D175" s="2" t="s">
        <v>8</v>
      </c>
      <c r="E175" s="2" t="s">
        <v>9</v>
      </c>
      <c r="F175" s="6">
        <v>51855</v>
      </c>
      <c r="G175" s="2">
        <v>9985</v>
      </c>
      <c r="H175" s="2">
        <v>10</v>
      </c>
      <c r="I175" s="14">
        <f t="shared" si="6"/>
        <v>61840</v>
      </c>
      <c r="J175" s="26" t="str">
        <f t="shared" si="7"/>
        <v>high</v>
      </c>
      <c r="K175" s="2" t="str">
        <f t="shared" si="8"/>
        <v>5000</v>
      </c>
    </row>
    <row r="176" spans="2:11" x14ac:dyDescent="0.3">
      <c r="B176" s="2">
        <v>1175</v>
      </c>
      <c r="C176" s="2" t="s">
        <v>18</v>
      </c>
      <c r="D176" s="2" t="s">
        <v>19</v>
      </c>
      <c r="E176" s="2" t="s">
        <v>21</v>
      </c>
      <c r="F176" s="6">
        <v>35005</v>
      </c>
      <c r="G176" s="2">
        <v>3384</v>
      </c>
      <c r="H176" s="2">
        <v>7</v>
      </c>
      <c r="I176" s="14">
        <f t="shared" si="6"/>
        <v>38389</v>
      </c>
      <c r="J176" s="26" t="str">
        <f t="shared" si="7"/>
        <v>low</v>
      </c>
      <c r="K176" s="2" t="str">
        <f t="shared" si="8"/>
        <v>5000</v>
      </c>
    </row>
    <row r="177" spans="2:11" x14ac:dyDescent="0.3">
      <c r="B177" s="2">
        <v>1176</v>
      </c>
      <c r="C177" s="2" t="s">
        <v>31</v>
      </c>
      <c r="D177" s="2" t="s">
        <v>11</v>
      </c>
      <c r="E177" s="2" t="s">
        <v>12</v>
      </c>
      <c r="F177" s="6">
        <v>37553</v>
      </c>
      <c r="G177" s="2">
        <v>6097</v>
      </c>
      <c r="H177" s="2">
        <v>1</v>
      </c>
      <c r="I177" s="14">
        <f t="shared" si="6"/>
        <v>43650</v>
      </c>
      <c r="J177" s="26" t="str">
        <f t="shared" si="7"/>
        <v>low</v>
      </c>
      <c r="K177" s="2" t="str">
        <f t="shared" si="8"/>
        <v>2000</v>
      </c>
    </row>
    <row r="178" spans="2:11" x14ac:dyDescent="0.3">
      <c r="B178" s="2">
        <v>1177</v>
      </c>
      <c r="C178" s="2" t="s">
        <v>20</v>
      </c>
      <c r="D178" s="2" t="s">
        <v>11</v>
      </c>
      <c r="E178" s="2" t="s">
        <v>12</v>
      </c>
      <c r="F178" s="6">
        <v>58007</v>
      </c>
      <c r="G178" s="2">
        <v>4127</v>
      </c>
      <c r="H178" s="2">
        <v>6</v>
      </c>
      <c r="I178" s="14">
        <f t="shared" si="6"/>
        <v>62134</v>
      </c>
      <c r="J178" s="26" t="str">
        <f t="shared" si="7"/>
        <v>high</v>
      </c>
      <c r="K178" s="2" t="str">
        <f t="shared" si="8"/>
        <v>5000</v>
      </c>
    </row>
    <row r="179" spans="2:11" x14ac:dyDescent="0.3">
      <c r="B179" s="2">
        <v>1178</v>
      </c>
      <c r="C179" s="2" t="s">
        <v>26</v>
      </c>
      <c r="D179" s="2" t="s">
        <v>8</v>
      </c>
      <c r="E179" s="2" t="s">
        <v>12</v>
      </c>
      <c r="F179" s="6">
        <v>44886</v>
      </c>
      <c r="G179" s="2">
        <v>3752</v>
      </c>
      <c r="H179" s="2">
        <v>8</v>
      </c>
      <c r="I179" s="14">
        <f t="shared" si="6"/>
        <v>48638</v>
      </c>
      <c r="J179" s="26" t="str">
        <f t="shared" si="7"/>
        <v>low</v>
      </c>
      <c r="K179" s="2" t="str">
        <f t="shared" si="8"/>
        <v>5000</v>
      </c>
    </row>
    <row r="180" spans="2:11" x14ac:dyDescent="0.3">
      <c r="B180" s="2">
        <v>1179</v>
      </c>
      <c r="C180" s="2" t="s">
        <v>31</v>
      </c>
      <c r="D180" s="2" t="s">
        <v>8</v>
      </c>
      <c r="E180" s="2" t="s">
        <v>12</v>
      </c>
      <c r="F180" s="6">
        <v>21895</v>
      </c>
      <c r="G180" s="2">
        <v>5325</v>
      </c>
      <c r="H180" s="2">
        <v>9</v>
      </c>
      <c r="I180" s="14">
        <f t="shared" si="6"/>
        <v>27220</v>
      </c>
      <c r="J180" s="26" t="str">
        <f t="shared" si="7"/>
        <v>low</v>
      </c>
      <c r="K180" s="2" t="str">
        <f t="shared" si="8"/>
        <v>5000</v>
      </c>
    </row>
    <row r="181" spans="2:11" x14ac:dyDescent="0.3">
      <c r="B181" s="2">
        <v>1180</v>
      </c>
      <c r="C181" s="2" t="s">
        <v>27</v>
      </c>
      <c r="D181" s="2" t="s">
        <v>14</v>
      </c>
      <c r="E181" s="2" t="s">
        <v>9</v>
      </c>
      <c r="F181" s="6">
        <v>67885</v>
      </c>
      <c r="G181" s="2">
        <v>8490</v>
      </c>
      <c r="H181" s="2">
        <v>2</v>
      </c>
      <c r="I181" s="14">
        <f t="shared" si="6"/>
        <v>76375</v>
      </c>
      <c r="J181" s="26" t="str">
        <f t="shared" si="7"/>
        <v>high</v>
      </c>
      <c r="K181" s="2" t="str">
        <f t="shared" si="8"/>
        <v>2000</v>
      </c>
    </row>
    <row r="182" spans="2:11" x14ac:dyDescent="0.3">
      <c r="B182" s="2">
        <v>1181</v>
      </c>
      <c r="C182" s="2" t="s">
        <v>33</v>
      </c>
      <c r="D182" s="2" t="s">
        <v>14</v>
      </c>
      <c r="E182" s="2" t="s">
        <v>12</v>
      </c>
      <c r="F182" s="6">
        <v>54803</v>
      </c>
      <c r="G182" s="2">
        <v>9775</v>
      </c>
      <c r="H182" s="2">
        <v>6</v>
      </c>
      <c r="I182" s="14">
        <f t="shared" si="6"/>
        <v>64578</v>
      </c>
      <c r="J182" s="26" t="str">
        <f t="shared" si="7"/>
        <v>high</v>
      </c>
      <c r="K182" s="2" t="str">
        <f t="shared" si="8"/>
        <v>5000</v>
      </c>
    </row>
    <row r="183" spans="2:11" x14ac:dyDescent="0.3">
      <c r="B183" s="2">
        <v>1182</v>
      </c>
      <c r="C183" s="2" t="s">
        <v>20</v>
      </c>
      <c r="D183" s="2" t="s">
        <v>14</v>
      </c>
      <c r="E183" s="2" t="s">
        <v>15</v>
      </c>
      <c r="F183" s="6">
        <v>33998</v>
      </c>
      <c r="G183" s="2">
        <v>9740</v>
      </c>
      <c r="H183" s="2">
        <v>1</v>
      </c>
      <c r="I183" s="14">
        <f t="shared" si="6"/>
        <v>43738</v>
      </c>
      <c r="J183" s="26" t="str">
        <f t="shared" si="7"/>
        <v>low</v>
      </c>
      <c r="K183" s="2" t="str">
        <f t="shared" si="8"/>
        <v>2000</v>
      </c>
    </row>
    <row r="184" spans="2:11" x14ac:dyDescent="0.3">
      <c r="B184" s="2">
        <v>1183</v>
      </c>
      <c r="C184" s="2" t="s">
        <v>13</v>
      </c>
      <c r="D184" s="2" t="s">
        <v>14</v>
      </c>
      <c r="E184" s="2" t="s">
        <v>15</v>
      </c>
      <c r="F184" s="6">
        <v>42192</v>
      </c>
      <c r="G184" s="2">
        <v>4501</v>
      </c>
      <c r="H184" s="2">
        <v>1</v>
      </c>
      <c r="I184" s="14">
        <f t="shared" si="6"/>
        <v>46693</v>
      </c>
      <c r="J184" s="26" t="str">
        <f t="shared" si="7"/>
        <v>low</v>
      </c>
      <c r="K184" s="2" t="str">
        <f t="shared" si="8"/>
        <v>2000</v>
      </c>
    </row>
    <row r="185" spans="2:11" x14ac:dyDescent="0.3">
      <c r="B185" s="2">
        <v>1184</v>
      </c>
      <c r="C185" s="2" t="s">
        <v>23</v>
      </c>
      <c r="D185" s="2" t="s">
        <v>11</v>
      </c>
      <c r="E185" s="2" t="s">
        <v>15</v>
      </c>
      <c r="F185" s="6">
        <v>38608</v>
      </c>
      <c r="G185" s="2">
        <v>1166</v>
      </c>
      <c r="H185" s="2">
        <v>7</v>
      </c>
      <c r="I185" s="14">
        <f t="shared" si="6"/>
        <v>39774</v>
      </c>
      <c r="J185" s="26" t="str">
        <f t="shared" si="7"/>
        <v>low</v>
      </c>
      <c r="K185" s="2" t="str">
        <f t="shared" si="8"/>
        <v>5000</v>
      </c>
    </row>
    <row r="186" spans="2:11" x14ac:dyDescent="0.3">
      <c r="B186" s="2">
        <v>1185</v>
      </c>
      <c r="C186" s="2" t="s">
        <v>30</v>
      </c>
      <c r="D186" s="2" t="s">
        <v>8</v>
      </c>
      <c r="E186" s="2" t="s">
        <v>9</v>
      </c>
      <c r="F186" s="6">
        <v>56134</v>
      </c>
      <c r="G186" s="2">
        <v>2119</v>
      </c>
      <c r="H186" s="2">
        <v>3</v>
      </c>
      <c r="I186" s="14">
        <f t="shared" si="6"/>
        <v>58253</v>
      </c>
      <c r="J186" s="26" t="str">
        <f t="shared" si="7"/>
        <v>high</v>
      </c>
      <c r="K186" s="2" t="str">
        <f t="shared" si="8"/>
        <v>2000</v>
      </c>
    </row>
    <row r="187" spans="2:11" x14ac:dyDescent="0.3">
      <c r="B187" s="2">
        <v>1186</v>
      </c>
      <c r="C187" s="2" t="s">
        <v>27</v>
      </c>
      <c r="D187" s="2" t="s">
        <v>19</v>
      </c>
      <c r="E187" s="2" t="s">
        <v>9</v>
      </c>
      <c r="F187" s="6">
        <v>47213</v>
      </c>
      <c r="G187" s="2">
        <v>2028</v>
      </c>
      <c r="H187" s="2">
        <v>3</v>
      </c>
      <c r="I187" s="14">
        <f t="shared" si="6"/>
        <v>49241</v>
      </c>
      <c r="J187" s="26" t="str">
        <f t="shared" si="7"/>
        <v>low</v>
      </c>
      <c r="K187" s="2" t="str">
        <f t="shared" si="8"/>
        <v>2000</v>
      </c>
    </row>
    <row r="188" spans="2:11" x14ac:dyDescent="0.3">
      <c r="B188" s="2">
        <v>1187</v>
      </c>
      <c r="C188" s="2" t="s">
        <v>7</v>
      </c>
      <c r="D188" s="2" t="s">
        <v>8</v>
      </c>
      <c r="E188" s="2" t="s">
        <v>9</v>
      </c>
      <c r="F188" s="6">
        <v>31666</v>
      </c>
      <c r="G188" s="2">
        <v>1066</v>
      </c>
      <c r="H188" s="2">
        <v>7</v>
      </c>
      <c r="I188" s="14">
        <f t="shared" si="6"/>
        <v>32732</v>
      </c>
      <c r="J188" s="26" t="str">
        <f t="shared" si="7"/>
        <v>low</v>
      </c>
      <c r="K188" s="2" t="str">
        <f t="shared" si="8"/>
        <v>5000</v>
      </c>
    </row>
    <row r="189" spans="2:11" x14ac:dyDescent="0.3">
      <c r="B189" s="2">
        <v>1188</v>
      </c>
      <c r="C189" s="2" t="s">
        <v>32</v>
      </c>
      <c r="D189" s="2" t="s">
        <v>8</v>
      </c>
      <c r="E189" s="2" t="s">
        <v>9</v>
      </c>
      <c r="F189" s="6">
        <v>32596</v>
      </c>
      <c r="G189" s="2">
        <v>1819</v>
      </c>
      <c r="H189" s="2">
        <v>10</v>
      </c>
      <c r="I189" s="14">
        <f t="shared" si="6"/>
        <v>34415</v>
      </c>
      <c r="J189" s="26" t="str">
        <f t="shared" si="7"/>
        <v>low</v>
      </c>
      <c r="K189" s="2" t="str">
        <f t="shared" si="8"/>
        <v>5000</v>
      </c>
    </row>
    <row r="190" spans="2:11" x14ac:dyDescent="0.3">
      <c r="B190" s="2">
        <v>1189</v>
      </c>
      <c r="C190" s="2" t="s">
        <v>30</v>
      </c>
      <c r="D190" s="2" t="s">
        <v>11</v>
      </c>
      <c r="E190" s="2" t="s">
        <v>12</v>
      </c>
      <c r="F190" s="6">
        <v>69517</v>
      </c>
      <c r="G190" s="2">
        <v>3075</v>
      </c>
      <c r="H190" s="2">
        <v>7</v>
      </c>
      <c r="I190" s="14">
        <f t="shared" si="6"/>
        <v>72592</v>
      </c>
      <c r="J190" s="26" t="str">
        <f t="shared" si="7"/>
        <v>high</v>
      </c>
      <c r="K190" s="2" t="str">
        <f t="shared" si="8"/>
        <v>5000</v>
      </c>
    </row>
    <row r="191" spans="2:11" x14ac:dyDescent="0.3">
      <c r="B191" s="2">
        <v>1190</v>
      </c>
      <c r="C191" s="2" t="s">
        <v>7</v>
      </c>
      <c r="D191" s="2" t="s">
        <v>14</v>
      </c>
      <c r="E191" s="2" t="s">
        <v>15</v>
      </c>
      <c r="F191" s="6">
        <v>55079</v>
      </c>
      <c r="G191" s="2">
        <v>9032</v>
      </c>
      <c r="H191" s="2">
        <v>7</v>
      </c>
      <c r="I191" s="14">
        <f t="shared" si="6"/>
        <v>64111</v>
      </c>
      <c r="J191" s="26" t="str">
        <f t="shared" si="7"/>
        <v>high</v>
      </c>
      <c r="K191" s="2" t="str">
        <f t="shared" si="8"/>
        <v>5000</v>
      </c>
    </row>
    <row r="192" spans="2:11" x14ac:dyDescent="0.3">
      <c r="B192" s="2">
        <v>1191</v>
      </c>
      <c r="C192" s="2" t="s">
        <v>13</v>
      </c>
      <c r="D192" s="2" t="s">
        <v>11</v>
      </c>
      <c r="E192" s="2" t="s">
        <v>9</v>
      </c>
      <c r="F192" s="6">
        <v>66992</v>
      </c>
      <c r="G192" s="2">
        <v>9201</v>
      </c>
      <c r="H192" s="2">
        <v>4</v>
      </c>
      <c r="I192" s="14">
        <f t="shared" si="6"/>
        <v>76193</v>
      </c>
      <c r="J192" s="26" t="str">
        <f t="shared" si="7"/>
        <v>high</v>
      </c>
      <c r="K192" s="2" t="str">
        <f t="shared" si="8"/>
        <v>2000</v>
      </c>
    </row>
    <row r="193" spans="2:11" x14ac:dyDescent="0.3">
      <c r="B193" s="2">
        <v>1192</v>
      </c>
      <c r="C193" s="2" t="s">
        <v>20</v>
      </c>
      <c r="D193" s="2" t="s">
        <v>8</v>
      </c>
      <c r="E193" s="2" t="s">
        <v>21</v>
      </c>
      <c r="F193" s="6">
        <v>44664</v>
      </c>
      <c r="G193" s="2">
        <v>8413</v>
      </c>
      <c r="H193" s="2">
        <v>6</v>
      </c>
      <c r="I193" s="14">
        <f t="shared" si="6"/>
        <v>53077</v>
      </c>
      <c r="J193" s="26" t="str">
        <f t="shared" si="7"/>
        <v>low</v>
      </c>
      <c r="K193" s="2" t="str">
        <f t="shared" si="8"/>
        <v>5000</v>
      </c>
    </row>
    <row r="194" spans="2:11" x14ac:dyDescent="0.3">
      <c r="B194" s="2">
        <v>1193</v>
      </c>
      <c r="C194" s="2" t="s">
        <v>32</v>
      </c>
      <c r="D194" s="2" t="s">
        <v>14</v>
      </c>
      <c r="E194" s="2" t="s">
        <v>15</v>
      </c>
      <c r="F194" s="6">
        <v>47580</v>
      </c>
      <c r="G194" s="2">
        <v>4552</v>
      </c>
      <c r="H194" s="2">
        <v>6</v>
      </c>
      <c r="I194" s="14">
        <f t="shared" si="6"/>
        <v>52132</v>
      </c>
      <c r="J194" s="26" t="str">
        <f t="shared" si="7"/>
        <v>low</v>
      </c>
      <c r="K194" s="2" t="str">
        <f t="shared" si="8"/>
        <v>5000</v>
      </c>
    </row>
    <row r="195" spans="2:11" x14ac:dyDescent="0.3">
      <c r="B195" s="2">
        <v>1194</v>
      </c>
      <c r="C195" s="2" t="s">
        <v>13</v>
      </c>
      <c r="D195" s="2" t="s">
        <v>8</v>
      </c>
      <c r="E195" s="2" t="s">
        <v>21</v>
      </c>
      <c r="F195" s="6">
        <v>36345</v>
      </c>
      <c r="G195" s="2">
        <v>9023</v>
      </c>
      <c r="H195" s="2">
        <v>6</v>
      </c>
      <c r="I195" s="14">
        <f t="shared" ref="I195:I201" si="9">F195+G195</f>
        <v>45368</v>
      </c>
      <c r="J195" s="26" t="str">
        <f t="shared" ref="J195:J201" si="10">IF(F195&gt;50000, "high", "low")</f>
        <v>low</v>
      </c>
      <c r="K195" s="2" t="str">
        <f t="shared" ref="K195:K201" si="11">IF(H195&gt;5, "5000", "2000")</f>
        <v>5000</v>
      </c>
    </row>
    <row r="196" spans="2:11" x14ac:dyDescent="0.3">
      <c r="B196" s="2">
        <v>1195</v>
      </c>
      <c r="C196" s="2" t="s">
        <v>33</v>
      </c>
      <c r="D196" s="2" t="s">
        <v>8</v>
      </c>
      <c r="E196" s="2" t="s">
        <v>15</v>
      </c>
      <c r="F196" s="6">
        <v>52111</v>
      </c>
      <c r="G196" s="2">
        <v>5478</v>
      </c>
      <c r="H196" s="2">
        <v>9</v>
      </c>
      <c r="I196" s="14">
        <f t="shared" si="9"/>
        <v>57589</v>
      </c>
      <c r="J196" s="26" t="str">
        <f t="shared" si="10"/>
        <v>high</v>
      </c>
      <c r="K196" s="2" t="str">
        <f t="shared" si="11"/>
        <v>5000</v>
      </c>
    </row>
    <row r="197" spans="2:11" x14ac:dyDescent="0.3">
      <c r="B197" s="2">
        <v>1196</v>
      </c>
      <c r="C197" s="2" t="s">
        <v>26</v>
      </c>
      <c r="D197" s="2" t="s">
        <v>11</v>
      </c>
      <c r="E197" s="2" t="s">
        <v>21</v>
      </c>
      <c r="F197" s="6">
        <v>64671</v>
      </c>
      <c r="G197" s="2">
        <v>8872</v>
      </c>
      <c r="H197" s="2">
        <v>2</v>
      </c>
      <c r="I197" s="14">
        <f t="shared" si="9"/>
        <v>73543</v>
      </c>
      <c r="J197" s="26" t="str">
        <f t="shared" si="10"/>
        <v>high</v>
      </c>
      <c r="K197" s="2" t="str">
        <f t="shared" si="11"/>
        <v>2000</v>
      </c>
    </row>
    <row r="198" spans="2:11" x14ac:dyDescent="0.3">
      <c r="B198" s="2">
        <v>1197</v>
      </c>
      <c r="C198" s="2" t="s">
        <v>13</v>
      </c>
      <c r="D198" s="2" t="s">
        <v>11</v>
      </c>
      <c r="E198" s="2" t="s">
        <v>12</v>
      </c>
      <c r="F198" s="6">
        <v>40141</v>
      </c>
      <c r="G198" s="2">
        <v>8464</v>
      </c>
      <c r="H198" s="2">
        <v>5</v>
      </c>
      <c r="I198" s="14">
        <f t="shared" si="9"/>
        <v>48605</v>
      </c>
      <c r="J198" s="26" t="str">
        <f t="shared" si="10"/>
        <v>low</v>
      </c>
      <c r="K198" s="2" t="str">
        <f t="shared" si="11"/>
        <v>2000</v>
      </c>
    </row>
    <row r="199" spans="2:11" x14ac:dyDescent="0.3">
      <c r="B199" s="2">
        <v>1198</v>
      </c>
      <c r="C199" s="2" t="s">
        <v>18</v>
      </c>
      <c r="D199" s="2" t="s">
        <v>14</v>
      </c>
      <c r="E199" s="2" t="s">
        <v>21</v>
      </c>
      <c r="F199" s="6">
        <v>43489</v>
      </c>
      <c r="G199" s="2">
        <v>2907</v>
      </c>
      <c r="H199" s="2">
        <v>4</v>
      </c>
      <c r="I199" s="14">
        <f t="shared" si="9"/>
        <v>46396</v>
      </c>
      <c r="J199" s="26" t="str">
        <f t="shared" si="10"/>
        <v>low</v>
      </c>
      <c r="K199" s="2" t="str">
        <f t="shared" si="11"/>
        <v>2000</v>
      </c>
    </row>
    <row r="200" spans="2:11" x14ac:dyDescent="0.3">
      <c r="B200" s="2">
        <v>1199</v>
      </c>
      <c r="C200" s="2" t="s">
        <v>24</v>
      </c>
      <c r="D200" s="2" t="s">
        <v>8</v>
      </c>
      <c r="E200" s="8" t="s">
        <v>15</v>
      </c>
      <c r="F200" s="9">
        <v>69522</v>
      </c>
      <c r="G200" s="2">
        <v>7203</v>
      </c>
      <c r="H200" s="2">
        <v>7</v>
      </c>
      <c r="I200" s="14">
        <f t="shared" si="9"/>
        <v>76725</v>
      </c>
      <c r="J200" s="26" t="str">
        <f t="shared" si="10"/>
        <v>high</v>
      </c>
      <c r="K200" s="2" t="str">
        <f t="shared" si="11"/>
        <v>5000</v>
      </c>
    </row>
    <row r="201" spans="2:11" x14ac:dyDescent="0.3">
      <c r="B201" s="2">
        <v>1200</v>
      </c>
      <c r="C201" s="2" t="s">
        <v>31</v>
      </c>
      <c r="D201" s="14" t="s">
        <v>8</v>
      </c>
      <c r="E201" s="2" t="s">
        <v>15</v>
      </c>
      <c r="F201" s="6">
        <v>31001</v>
      </c>
      <c r="G201" s="15">
        <v>6324</v>
      </c>
      <c r="H201" s="2">
        <v>9</v>
      </c>
      <c r="I201" s="14">
        <f t="shared" si="9"/>
        <v>37325</v>
      </c>
      <c r="J201" s="26" t="str">
        <f t="shared" si="10"/>
        <v>low</v>
      </c>
      <c r="K201" s="2" t="str">
        <f t="shared" si="11"/>
        <v>5000</v>
      </c>
    </row>
    <row r="202" spans="2:11" x14ac:dyDescent="0.3">
      <c r="E202" s="10"/>
      <c r="F202" s="11"/>
    </row>
    <row r="203" spans="2:11" x14ac:dyDescent="0.3">
      <c r="E203" s="10"/>
      <c r="F203" s="11"/>
    </row>
    <row r="204" spans="2:11" x14ac:dyDescent="0.3">
      <c r="E204" s="10"/>
      <c r="F204" s="11"/>
    </row>
    <row r="205" spans="2:11" x14ac:dyDescent="0.3">
      <c r="E205" s="10"/>
      <c r="F205" s="11"/>
    </row>
    <row r="206" spans="2:11" x14ac:dyDescent="0.3">
      <c r="E206" s="10"/>
      <c r="F206" s="11"/>
    </row>
    <row r="207" spans="2:11" x14ac:dyDescent="0.3">
      <c r="E207" s="12"/>
      <c r="F207" s="13"/>
    </row>
  </sheetData>
  <mergeCells count="1">
    <mergeCell ref="M15:N1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Original_data_Set</vt:lpstr>
      <vt:lpstr>New_column_and_basic_functions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b kornel</cp:lastModifiedBy>
  <dcterms:created xsi:type="dcterms:W3CDTF">2026-03-10T05:34:28Z</dcterms:created>
  <dcterms:modified xsi:type="dcterms:W3CDTF">2026-03-11T07:12:43Z</dcterms:modified>
</cp:coreProperties>
</file>