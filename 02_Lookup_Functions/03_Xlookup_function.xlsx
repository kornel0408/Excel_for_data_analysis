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02_Lookup_Functions/"/>
    </mc:Choice>
  </mc:AlternateContent>
  <xr:revisionPtr revIDLastSave="0" documentId="8_{DC89ACC5-B50E-4139-A3FB-6AA2A42091F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Orders(orignal_ds)" sheetId="1" r:id="rId1"/>
    <sheet name="Products" sheetId="2" r:id="rId2"/>
    <sheet name="xlookup" sheetId="3" r:id="rId3"/>
    <sheet name="Static" sheetId="4" r:id="rId4"/>
    <sheet name="Error_message" sheetId="5" r:id="rId5"/>
    <sheet name="Xlookup_mul_returns" sheetId="6" r:id="rId6"/>
  </sheets>
  <definedNames>
    <definedName name="product_deatials">Products!$A$2:$C$21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6" l="1" a="1"/>
  <c r="L8" i="6" s="1"/>
  <c r="D201" i="6"/>
  <c r="E201" i="6" s="1"/>
  <c r="F201" i="6" s="1"/>
  <c r="D200" i="6"/>
  <c r="E200" i="6" s="1"/>
  <c r="F200" i="6" s="1"/>
  <c r="D199" i="6"/>
  <c r="E199" i="6" s="1"/>
  <c r="F199" i="6" s="1"/>
  <c r="D198" i="6"/>
  <c r="E198" i="6" s="1"/>
  <c r="F198" i="6" s="1"/>
  <c r="D197" i="6"/>
  <c r="E197" i="6" s="1"/>
  <c r="F197" i="6" s="1"/>
  <c r="D196" i="6"/>
  <c r="E196" i="6" s="1"/>
  <c r="F196" i="6" s="1"/>
  <c r="D195" i="6"/>
  <c r="E195" i="6" s="1"/>
  <c r="F195" i="6" s="1"/>
  <c r="D194" i="6"/>
  <c r="E194" i="6" s="1"/>
  <c r="F194" i="6" s="1"/>
  <c r="D193" i="6"/>
  <c r="E193" i="6" s="1"/>
  <c r="F193" i="6" s="1"/>
  <c r="D192" i="6"/>
  <c r="E192" i="6" s="1"/>
  <c r="F192" i="6" s="1"/>
  <c r="D191" i="6"/>
  <c r="E191" i="6" s="1"/>
  <c r="F191" i="6" s="1"/>
  <c r="D190" i="6"/>
  <c r="E190" i="6" s="1"/>
  <c r="F190" i="6" s="1"/>
  <c r="D189" i="6"/>
  <c r="E189" i="6" s="1"/>
  <c r="F189" i="6" s="1"/>
  <c r="D188" i="6"/>
  <c r="E188" i="6" s="1"/>
  <c r="F188" i="6" s="1"/>
  <c r="D187" i="6"/>
  <c r="E187" i="6" s="1"/>
  <c r="F187" i="6" s="1"/>
  <c r="D186" i="6"/>
  <c r="E186" i="6" s="1"/>
  <c r="F186" i="6" s="1"/>
  <c r="D185" i="6"/>
  <c r="E185" i="6" s="1"/>
  <c r="F185" i="6" s="1"/>
  <c r="D184" i="6"/>
  <c r="E184" i="6" s="1"/>
  <c r="F184" i="6" s="1"/>
  <c r="D183" i="6"/>
  <c r="E183" i="6" s="1"/>
  <c r="F183" i="6" s="1"/>
  <c r="D182" i="6"/>
  <c r="E182" i="6" s="1"/>
  <c r="F182" i="6" s="1"/>
  <c r="D181" i="6"/>
  <c r="E181" i="6" s="1"/>
  <c r="F181" i="6" s="1"/>
  <c r="D180" i="6"/>
  <c r="E180" i="6" s="1"/>
  <c r="F180" i="6" s="1"/>
  <c r="D179" i="6"/>
  <c r="E179" i="6" s="1"/>
  <c r="F179" i="6" s="1"/>
  <c r="D178" i="6"/>
  <c r="E178" i="6" s="1"/>
  <c r="F178" i="6" s="1"/>
  <c r="D177" i="6"/>
  <c r="E177" i="6" s="1"/>
  <c r="F177" i="6" s="1"/>
  <c r="D176" i="6"/>
  <c r="E176" i="6" s="1"/>
  <c r="F176" i="6" s="1"/>
  <c r="D175" i="6"/>
  <c r="E175" i="6" s="1"/>
  <c r="F175" i="6" s="1"/>
  <c r="D174" i="6"/>
  <c r="E174" i="6" s="1"/>
  <c r="F174" i="6" s="1"/>
  <c r="D173" i="6"/>
  <c r="E173" i="6" s="1"/>
  <c r="F173" i="6" s="1"/>
  <c r="D172" i="6"/>
  <c r="E172" i="6" s="1"/>
  <c r="F172" i="6" s="1"/>
  <c r="D171" i="6"/>
  <c r="E171" i="6" s="1"/>
  <c r="F171" i="6" s="1"/>
  <c r="D170" i="6"/>
  <c r="E170" i="6" s="1"/>
  <c r="F170" i="6" s="1"/>
  <c r="D169" i="6"/>
  <c r="E169" i="6" s="1"/>
  <c r="F169" i="6" s="1"/>
  <c r="D168" i="6"/>
  <c r="E168" i="6" s="1"/>
  <c r="F168" i="6" s="1"/>
  <c r="D167" i="6"/>
  <c r="E167" i="6" s="1"/>
  <c r="F167" i="6" s="1"/>
  <c r="D166" i="6"/>
  <c r="E166" i="6" s="1"/>
  <c r="F166" i="6" s="1"/>
  <c r="D165" i="6"/>
  <c r="E165" i="6" s="1"/>
  <c r="F165" i="6" s="1"/>
  <c r="E164" i="6"/>
  <c r="F164" i="6" s="1"/>
  <c r="D164" i="6"/>
  <c r="D163" i="6"/>
  <c r="E163" i="6" s="1"/>
  <c r="F163" i="6" s="1"/>
  <c r="D162" i="6"/>
  <c r="E162" i="6" s="1"/>
  <c r="F162" i="6" s="1"/>
  <c r="D161" i="6"/>
  <c r="E161" i="6" s="1"/>
  <c r="F161" i="6" s="1"/>
  <c r="D160" i="6"/>
  <c r="E160" i="6" s="1"/>
  <c r="F160" i="6" s="1"/>
  <c r="D159" i="6"/>
  <c r="E159" i="6" s="1"/>
  <c r="F159" i="6" s="1"/>
  <c r="D158" i="6"/>
  <c r="E158" i="6" s="1"/>
  <c r="F158" i="6" s="1"/>
  <c r="D157" i="6"/>
  <c r="E157" i="6" s="1"/>
  <c r="F157" i="6" s="1"/>
  <c r="D156" i="6"/>
  <c r="E156" i="6" s="1"/>
  <c r="F156" i="6" s="1"/>
  <c r="D155" i="6"/>
  <c r="E155" i="6" s="1"/>
  <c r="F155" i="6" s="1"/>
  <c r="D154" i="6"/>
  <c r="E154" i="6" s="1"/>
  <c r="F154" i="6" s="1"/>
  <c r="D153" i="6"/>
  <c r="E153" i="6" s="1"/>
  <c r="F153" i="6" s="1"/>
  <c r="D152" i="6"/>
  <c r="E152" i="6" s="1"/>
  <c r="F152" i="6" s="1"/>
  <c r="D151" i="6"/>
  <c r="E151" i="6" s="1"/>
  <c r="F151" i="6" s="1"/>
  <c r="D150" i="6"/>
  <c r="E150" i="6" s="1"/>
  <c r="F150" i="6" s="1"/>
  <c r="D149" i="6"/>
  <c r="E149" i="6" s="1"/>
  <c r="F149" i="6" s="1"/>
  <c r="D148" i="6"/>
  <c r="E148" i="6" s="1"/>
  <c r="F148" i="6" s="1"/>
  <c r="D147" i="6"/>
  <c r="E147" i="6" s="1"/>
  <c r="F147" i="6" s="1"/>
  <c r="D146" i="6"/>
  <c r="E146" i="6" s="1"/>
  <c r="F146" i="6" s="1"/>
  <c r="D145" i="6"/>
  <c r="E145" i="6" s="1"/>
  <c r="F145" i="6" s="1"/>
  <c r="D144" i="6"/>
  <c r="E144" i="6" s="1"/>
  <c r="F144" i="6" s="1"/>
  <c r="D143" i="6"/>
  <c r="E143" i="6" s="1"/>
  <c r="F143" i="6" s="1"/>
  <c r="D142" i="6"/>
  <c r="E142" i="6" s="1"/>
  <c r="F142" i="6" s="1"/>
  <c r="D141" i="6"/>
  <c r="E141" i="6" s="1"/>
  <c r="F141" i="6" s="1"/>
  <c r="D140" i="6"/>
  <c r="E140" i="6" s="1"/>
  <c r="F140" i="6" s="1"/>
  <c r="D139" i="6"/>
  <c r="E139" i="6" s="1"/>
  <c r="F139" i="6" s="1"/>
  <c r="D138" i="6"/>
  <c r="E138" i="6" s="1"/>
  <c r="F138" i="6" s="1"/>
  <c r="D137" i="6"/>
  <c r="E137" i="6" s="1"/>
  <c r="F137" i="6" s="1"/>
  <c r="D136" i="6"/>
  <c r="E136" i="6" s="1"/>
  <c r="F136" i="6" s="1"/>
  <c r="D135" i="6"/>
  <c r="E135" i="6" s="1"/>
  <c r="F135" i="6" s="1"/>
  <c r="D134" i="6"/>
  <c r="E134" i="6" s="1"/>
  <c r="F134" i="6" s="1"/>
  <c r="D133" i="6"/>
  <c r="E133" i="6" s="1"/>
  <c r="F133" i="6" s="1"/>
  <c r="D132" i="6"/>
  <c r="E132" i="6" s="1"/>
  <c r="F132" i="6" s="1"/>
  <c r="D131" i="6"/>
  <c r="E131" i="6" s="1"/>
  <c r="F131" i="6" s="1"/>
  <c r="D130" i="6"/>
  <c r="E130" i="6" s="1"/>
  <c r="F130" i="6" s="1"/>
  <c r="D129" i="6"/>
  <c r="E129" i="6" s="1"/>
  <c r="F129" i="6" s="1"/>
  <c r="D128" i="6"/>
  <c r="E128" i="6" s="1"/>
  <c r="F128" i="6" s="1"/>
  <c r="D127" i="6"/>
  <c r="E127" i="6" s="1"/>
  <c r="F127" i="6" s="1"/>
  <c r="D126" i="6"/>
  <c r="E126" i="6" s="1"/>
  <c r="F126" i="6" s="1"/>
  <c r="D125" i="6"/>
  <c r="E125" i="6" s="1"/>
  <c r="F125" i="6" s="1"/>
  <c r="D124" i="6"/>
  <c r="E124" i="6" s="1"/>
  <c r="F124" i="6" s="1"/>
  <c r="D123" i="6"/>
  <c r="E123" i="6" s="1"/>
  <c r="F123" i="6" s="1"/>
  <c r="D122" i="6"/>
  <c r="E122" i="6" s="1"/>
  <c r="F122" i="6" s="1"/>
  <c r="D121" i="6"/>
  <c r="E121" i="6" s="1"/>
  <c r="F121" i="6" s="1"/>
  <c r="D120" i="6"/>
  <c r="E120" i="6" s="1"/>
  <c r="F120" i="6" s="1"/>
  <c r="D119" i="6"/>
  <c r="E119" i="6" s="1"/>
  <c r="F119" i="6" s="1"/>
  <c r="D118" i="6"/>
  <c r="E118" i="6" s="1"/>
  <c r="F118" i="6" s="1"/>
  <c r="D117" i="6"/>
  <c r="E117" i="6" s="1"/>
  <c r="F117" i="6" s="1"/>
  <c r="D116" i="6"/>
  <c r="E116" i="6" s="1"/>
  <c r="F116" i="6" s="1"/>
  <c r="D115" i="6"/>
  <c r="E115" i="6" s="1"/>
  <c r="F115" i="6" s="1"/>
  <c r="D114" i="6"/>
  <c r="E114" i="6" s="1"/>
  <c r="F114" i="6" s="1"/>
  <c r="D113" i="6"/>
  <c r="E113" i="6" s="1"/>
  <c r="F113" i="6" s="1"/>
  <c r="D112" i="6"/>
  <c r="E112" i="6" s="1"/>
  <c r="F112" i="6" s="1"/>
  <c r="D111" i="6"/>
  <c r="E111" i="6" s="1"/>
  <c r="F111" i="6" s="1"/>
  <c r="D110" i="6"/>
  <c r="E110" i="6" s="1"/>
  <c r="F110" i="6" s="1"/>
  <c r="D109" i="6"/>
  <c r="E109" i="6" s="1"/>
  <c r="F109" i="6" s="1"/>
  <c r="D108" i="6"/>
  <c r="E108" i="6" s="1"/>
  <c r="F108" i="6" s="1"/>
  <c r="D107" i="6"/>
  <c r="E107" i="6" s="1"/>
  <c r="F107" i="6" s="1"/>
  <c r="D106" i="6"/>
  <c r="E106" i="6" s="1"/>
  <c r="F106" i="6" s="1"/>
  <c r="D105" i="6"/>
  <c r="E105" i="6" s="1"/>
  <c r="F105" i="6" s="1"/>
  <c r="D104" i="6"/>
  <c r="E104" i="6" s="1"/>
  <c r="F104" i="6" s="1"/>
  <c r="D103" i="6"/>
  <c r="E103" i="6" s="1"/>
  <c r="F103" i="6" s="1"/>
  <c r="E102" i="6"/>
  <c r="F102" i="6" s="1"/>
  <c r="D102" i="6"/>
  <c r="D101" i="6"/>
  <c r="E101" i="6" s="1"/>
  <c r="F101" i="6" s="1"/>
  <c r="D100" i="6"/>
  <c r="E100" i="6" s="1"/>
  <c r="F100" i="6" s="1"/>
  <c r="D99" i="6"/>
  <c r="E99" i="6" s="1"/>
  <c r="F99" i="6" s="1"/>
  <c r="D98" i="6"/>
  <c r="E98" i="6" s="1"/>
  <c r="F98" i="6" s="1"/>
  <c r="D97" i="6"/>
  <c r="E97" i="6" s="1"/>
  <c r="F97" i="6" s="1"/>
  <c r="D96" i="6"/>
  <c r="E96" i="6" s="1"/>
  <c r="F96" i="6" s="1"/>
  <c r="D95" i="6"/>
  <c r="E95" i="6" s="1"/>
  <c r="F95" i="6" s="1"/>
  <c r="D94" i="6"/>
  <c r="E94" i="6" s="1"/>
  <c r="F94" i="6" s="1"/>
  <c r="D93" i="6"/>
  <c r="E93" i="6" s="1"/>
  <c r="F93" i="6" s="1"/>
  <c r="D92" i="6"/>
  <c r="E92" i="6" s="1"/>
  <c r="F92" i="6" s="1"/>
  <c r="D91" i="6"/>
  <c r="E91" i="6" s="1"/>
  <c r="F91" i="6" s="1"/>
  <c r="D90" i="6"/>
  <c r="E90" i="6" s="1"/>
  <c r="F90" i="6" s="1"/>
  <c r="D89" i="6"/>
  <c r="E89" i="6" s="1"/>
  <c r="F89" i="6" s="1"/>
  <c r="D88" i="6"/>
  <c r="E88" i="6" s="1"/>
  <c r="F88" i="6" s="1"/>
  <c r="D87" i="6"/>
  <c r="E87" i="6" s="1"/>
  <c r="F87" i="6" s="1"/>
  <c r="D86" i="6"/>
  <c r="E86" i="6" s="1"/>
  <c r="F86" i="6" s="1"/>
  <c r="D85" i="6"/>
  <c r="E85" i="6" s="1"/>
  <c r="F85" i="6" s="1"/>
  <c r="E84" i="6"/>
  <c r="F84" i="6" s="1"/>
  <c r="D84" i="6"/>
  <c r="D83" i="6"/>
  <c r="E83" i="6" s="1"/>
  <c r="F83" i="6" s="1"/>
  <c r="D82" i="6"/>
  <c r="E82" i="6" s="1"/>
  <c r="F82" i="6" s="1"/>
  <c r="D81" i="6"/>
  <c r="E81" i="6" s="1"/>
  <c r="F81" i="6" s="1"/>
  <c r="D80" i="6"/>
  <c r="E80" i="6" s="1"/>
  <c r="F80" i="6" s="1"/>
  <c r="E79" i="6"/>
  <c r="F79" i="6" s="1"/>
  <c r="D79" i="6"/>
  <c r="D78" i="6"/>
  <c r="E78" i="6" s="1"/>
  <c r="F78" i="6" s="1"/>
  <c r="D77" i="6"/>
  <c r="E77" i="6" s="1"/>
  <c r="F77" i="6" s="1"/>
  <c r="D76" i="6"/>
  <c r="E76" i="6" s="1"/>
  <c r="F76" i="6" s="1"/>
  <c r="D75" i="6"/>
  <c r="E75" i="6" s="1"/>
  <c r="F75" i="6" s="1"/>
  <c r="E74" i="6"/>
  <c r="F74" i="6" s="1"/>
  <c r="D74" i="6"/>
  <c r="D73" i="6"/>
  <c r="E73" i="6" s="1"/>
  <c r="F73" i="6" s="1"/>
  <c r="D72" i="6"/>
  <c r="E72" i="6" s="1"/>
  <c r="F72" i="6" s="1"/>
  <c r="D71" i="6"/>
  <c r="E71" i="6" s="1"/>
  <c r="F71" i="6" s="1"/>
  <c r="D70" i="6"/>
  <c r="E70" i="6" s="1"/>
  <c r="F70" i="6" s="1"/>
  <c r="D69" i="6"/>
  <c r="E69" i="6" s="1"/>
  <c r="F69" i="6" s="1"/>
  <c r="E68" i="6"/>
  <c r="F68" i="6" s="1"/>
  <c r="D68" i="6"/>
  <c r="D67" i="6"/>
  <c r="E67" i="6" s="1"/>
  <c r="F67" i="6" s="1"/>
  <c r="D66" i="6"/>
  <c r="E66" i="6" s="1"/>
  <c r="F66" i="6" s="1"/>
  <c r="D65" i="6"/>
  <c r="E65" i="6" s="1"/>
  <c r="F65" i="6" s="1"/>
  <c r="D64" i="6"/>
  <c r="E64" i="6" s="1"/>
  <c r="F64" i="6" s="1"/>
  <c r="E63" i="6"/>
  <c r="F63" i="6" s="1"/>
  <c r="D63" i="6"/>
  <c r="D62" i="6"/>
  <c r="E62" i="6" s="1"/>
  <c r="F62" i="6" s="1"/>
  <c r="D61" i="6"/>
  <c r="E61" i="6" s="1"/>
  <c r="F61" i="6" s="1"/>
  <c r="D60" i="6"/>
  <c r="E60" i="6" s="1"/>
  <c r="F60" i="6" s="1"/>
  <c r="D59" i="6"/>
  <c r="E59" i="6" s="1"/>
  <c r="F59" i="6" s="1"/>
  <c r="E58" i="6"/>
  <c r="F58" i="6" s="1"/>
  <c r="D58" i="6"/>
  <c r="D57" i="6"/>
  <c r="E57" i="6" s="1"/>
  <c r="F57" i="6" s="1"/>
  <c r="D56" i="6"/>
  <c r="E56" i="6" s="1"/>
  <c r="F56" i="6" s="1"/>
  <c r="D55" i="6"/>
  <c r="E55" i="6" s="1"/>
  <c r="F55" i="6" s="1"/>
  <c r="D54" i="6"/>
  <c r="E54" i="6" s="1"/>
  <c r="F54" i="6" s="1"/>
  <c r="D53" i="6"/>
  <c r="E53" i="6" s="1"/>
  <c r="F53" i="6" s="1"/>
  <c r="E52" i="6"/>
  <c r="F52" i="6" s="1"/>
  <c r="D52" i="6"/>
  <c r="D51" i="6"/>
  <c r="E51" i="6" s="1"/>
  <c r="F51" i="6" s="1"/>
  <c r="D50" i="6"/>
  <c r="E50" i="6" s="1"/>
  <c r="F50" i="6" s="1"/>
  <c r="D49" i="6"/>
  <c r="E49" i="6" s="1"/>
  <c r="F49" i="6" s="1"/>
  <c r="D48" i="6"/>
  <c r="E48" i="6" s="1"/>
  <c r="F48" i="6" s="1"/>
  <c r="F47" i="6"/>
  <c r="E47" i="6"/>
  <c r="D47" i="6"/>
  <c r="D46" i="6"/>
  <c r="E46" i="6" s="1"/>
  <c r="F46" i="6" s="1"/>
  <c r="D45" i="6"/>
  <c r="E45" i="6" s="1"/>
  <c r="F45" i="6" s="1"/>
  <c r="D44" i="6"/>
  <c r="E44" i="6" s="1"/>
  <c r="F44" i="6" s="1"/>
  <c r="E43" i="6"/>
  <c r="F43" i="6" s="1"/>
  <c r="D43" i="6"/>
  <c r="D42" i="6"/>
  <c r="E42" i="6" s="1"/>
  <c r="F42" i="6" s="1"/>
  <c r="D41" i="6"/>
  <c r="E41" i="6" s="1"/>
  <c r="F41" i="6" s="1"/>
  <c r="D40" i="6"/>
  <c r="E40" i="6" s="1"/>
  <c r="F40" i="6" s="1"/>
  <c r="D39" i="6"/>
  <c r="E39" i="6" s="1"/>
  <c r="F39" i="6" s="1"/>
  <c r="E38" i="6"/>
  <c r="F38" i="6" s="1"/>
  <c r="D38" i="6"/>
  <c r="D37" i="6"/>
  <c r="E37" i="6" s="1"/>
  <c r="F37" i="6" s="1"/>
  <c r="D36" i="6"/>
  <c r="E36" i="6" s="1"/>
  <c r="F36" i="6" s="1"/>
  <c r="D35" i="6"/>
  <c r="E35" i="6" s="1"/>
  <c r="F35" i="6" s="1"/>
  <c r="D34" i="6"/>
  <c r="E34" i="6" s="1"/>
  <c r="F34" i="6" s="1"/>
  <c r="D33" i="6"/>
  <c r="E33" i="6" s="1"/>
  <c r="F33" i="6" s="1"/>
  <c r="D32" i="6"/>
  <c r="E32" i="6" s="1"/>
  <c r="F32" i="6" s="1"/>
  <c r="D31" i="6"/>
  <c r="E31" i="6" s="1"/>
  <c r="F31" i="6" s="1"/>
  <c r="D30" i="6"/>
  <c r="E30" i="6" s="1"/>
  <c r="F30" i="6" s="1"/>
  <c r="D29" i="6"/>
  <c r="E29" i="6" s="1"/>
  <c r="F29" i="6" s="1"/>
  <c r="E28" i="6"/>
  <c r="F28" i="6" s="1"/>
  <c r="D28" i="6"/>
  <c r="D27" i="6"/>
  <c r="E27" i="6" s="1"/>
  <c r="F27" i="6" s="1"/>
  <c r="D26" i="6"/>
  <c r="E26" i="6" s="1"/>
  <c r="F26" i="6" s="1"/>
  <c r="D25" i="6"/>
  <c r="E25" i="6" s="1"/>
  <c r="F25" i="6" s="1"/>
  <c r="D24" i="6"/>
  <c r="E24" i="6" s="1"/>
  <c r="F24" i="6" s="1"/>
  <c r="F23" i="6"/>
  <c r="E23" i="6"/>
  <c r="D23" i="6"/>
  <c r="D22" i="6"/>
  <c r="E22" i="6" s="1"/>
  <c r="F22" i="6" s="1"/>
  <c r="D21" i="6"/>
  <c r="E21" i="6" s="1"/>
  <c r="F21" i="6" s="1"/>
  <c r="D20" i="6"/>
  <c r="E20" i="6" s="1"/>
  <c r="F20" i="6" s="1"/>
  <c r="D19" i="6"/>
  <c r="E19" i="6" s="1"/>
  <c r="F19" i="6" s="1"/>
  <c r="D18" i="6"/>
  <c r="E18" i="6" s="1"/>
  <c r="F18" i="6" s="1"/>
  <c r="D17" i="6"/>
  <c r="E17" i="6" s="1"/>
  <c r="F17" i="6" s="1"/>
  <c r="D16" i="6"/>
  <c r="E16" i="6" s="1"/>
  <c r="F16" i="6" s="1"/>
  <c r="D15" i="6"/>
  <c r="E15" i="6" s="1"/>
  <c r="F15" i="6" s="1"/>
  <c r="F14" i="6"/>
  <c r="E14" i="6"/>
  <c r="D14" i="6"/>
  <c r="D13" i="6"/>
  <c r="E13" i="6" s="1"/>
  <c r="F13" i="6" s="1"/>
  <c r="D12" i="6"/>
  <c r="E12" i="6" s="1"/>
  <c r="F12" i="6" s="1"/>
  <c r="D11" i="6"/>
  <c r="E11" i="6" s="1"/>
  <c r="F11" i="6" s="1"/>
  <c r="D10" i="6"/>
  <c r="E10" i="6" s="1"/>
  <c r="F10" i="6" s="1"/>
  <c r="D9" i="6"/>
  <c r="E9" i="6" s="1"/>
  <c r="F9" i="6" s="1"/>
  <c r="D8" i="6"/>
  <c r="E8" i="6" s="1"/>
  <c r="F8" i="6" s="1"/>
  <c r="D7" i="6"/>
  <c r="E7" i="6" s="1"/>
  <c r="F7" i="6" s="1"/>
  <c r="E6" i="6"/>
  <c r="F6" i="6" s="1"/>
  <c r="D6" i="6"/>
  <c r="D5" i="6"/>
  <c r="E5" i="6" s="1"/>
  <c r="F5" i="6" s="1"/>
  <c r="E4" i="6"/>
  <c r="F4" i="6" s="1"/>
  <c r="D4" i="6"/>
  <c r="D3" i="6"/>
  <c r="E3" i="6" s="1"/>
  <c r="F3" i="6" s="1"/>
  <c r="D2" i="6"/>
  <c r="E2" i="6" s="1"/>
  <c r="F2" i="6" s="1"/>
  <c r="L11" i="5"/>
  <c r="D201" i="5"/>
  <c r="E201" i="5" s="1"/>
  <c r="F201" i="5" s="1"/>
  <c r="D200" i="5"/>
  <c r="E200" i="5" s="1"/>
  <c r="F200" i="5" s="1"/>
  <c r="D199" i="5"/>
  <c r="E199" i="5" s="1"/>
  <c r="F199" i="5" s="1"/>
  <c r="D198" i="5"/>
  <c r="E198" i="5" s="1"/>
  <c r="F198" i="5" s="1"/>
  <c r="D197" i="5"/>
  <c r="E197" i="5" s="1"/>
  <c r="F197" i="5" s="1"/>
  <c r="D196" i="5"/>
  <c r="E196" i="5" s="1"/>
  <c r="F196" i="5" s="1"/>
  <c r="D195" i="5"/>
  <c r="E195" i="5" s="1"/>
  <c r="F195" i="5" s="1"/>
  <c r="D194" i="5"/>
  <c r="E194" i="5" s="1"/>
  <c r="F194" i="5" s="1"/>
  <c r="D193" i="5"/>
  <c r="E193" i="5" s="1"/>
  <c r="F193" i="5" s="1"/>
  <c r="D192" i="5"/>
  <c r="E192" i="5" s="1"/>
  <c r="F192" i="5" s="1"/>
  <c r="D191" i="5"/>
  <c r="E191" i="5" s="1"/>
  <c r="F191" i="5" s="1"/>
  <c r="D190" i="5"/>
  <c r="E190" i="5" s="1"/>
  <c r="F190" i="5" s="1"/>
  <c r="D189" i="5"/>
  <c r="E189" i="5" s="1"/>
  <c r="F189" i="5" s="1"/>
  <c r="D188" i="5"/>
  <c r="E188" i="5" s="1"/>
  <c r="F188" i="5" s="1"/>
  <c r="D187" i="5"/>
  <c r="E187" i="5" s="1"/>
  <c r="F187" i="5" s="1"/>
  <c r="D186" i="5"/>
  <c r="E186" i="5" s="1"/>
  <c r="F186" i="5" s="1"/>
  <c r="D185" i="5"/>
  <c r="E185" i="5" s="1"/>
  <c r="F185" i="5" s="1"/>
  <c r="D184" i="5"/>
  <c r="E184" i="5" s="1"/>
  <c r="F184" i="5" s="1"/>
  <c r="D183" i="5"/>
  <c r="E183" i="5" s="1"/>
  <c r="F183" i="5" s="1"/>
  <c r="D182" i="5"/>
  <c r="E182" i="5" s="1"/>
  <c r="F182" i="5" s="1"/>
  <c r="D181" i="5"/>
  <c r="E181" i="5" s="1"/>
  <c r="F181" i="5" s="1"/>
  <c r="D180" i="5"/>
  <c r="E180" i="5" s="1"/>
  <c r="F180" i="5" s="1"/>
  <c r="D179" i="5"/>
  <c r="E179" i="5" s="1"/>
  <c r="F179" i="5" s="1"/>
  <c r="D178" i="5"/>
  <c r="E178" i="5" s="1"/>
  <c r="F178" i="5" s="1"/>
  <c r="D177" i="5"/>
  <c r="E177" i="5" s="1"/>
  <c r="F177" i="5" s="1"/>
  <c r="D176" i="5"/>
  <c r="E176" i="5" s="1"/>
  <c r="F176" i="5" s="1"/>
  <c r="D175" i="5"/>
  <c r="E175" i="5" s="1"/>
  <c r="F175" i="5" s="1"/>
  <c r="D174" i="5"/>
  <c r="E174" i="5" s="1"/>
  <c r="F174" i="5" s="1"/>
  <c r="D173" i="5"/>
  <c r="E173" i="5" s="1"/>
  <c r="F173" i="5" s="1"/>
  <c r="D172" i="5"/>
  <c r="E172" i="5" s="1"/>
  <c r="F172" i="5" s="1"/>
  <c r="D171" i="5"/>
  <c r="E171" i="5" s="1"/>
  <c r="F171" i="5" s="1"/>
  <c r="D170" i="5"/>
  <c r="E170" i="5" s="1"/>
  <c r="F170" i="5" s="1"/>
  <c r="D169" i="5"/>
  <c r="E169" i="5" s="1"/>
  <c r="F169" i="5" s="1"/>
  <c r="D168" i="5"/>
  <c r="E168" i="5" s="1"/>
  <c r="F168" i="5" s="1"/>
  <c r="D167" i="5"/>
  <c r="E167" i="5" s="1"/>
  <c r="F167" i="5" s="1"/>
  <c r="D166" i="5"/>
  <c r="E166" i="5" s="1"/>
  <c r="F166" i="5" s="1"/>
  <c r="D165" i="5"/>
  <c r="E165" i="5" s="1"/>
  <c r="F165" i="5" s="1"/>
  <c r="E164" i="5"/>
  <c r="F164" i="5" s="1"/>
  <c r="D164" i="5"/>
  <c r="D163" i="5"/>
  <c r="E163" i="5" s="1"/>
  <c r="F163" i="5" s="1"/>
  <c r="D162" i="5"/>
  <c r="E162" i="5" s="1"/>
  <c r="F162" i="5" s="1"/>
  <c r="D161" i="5"/>
  <c r="E161" i="5" s="1"/>
  <c r="F161" i="5" s="1"/>
  <c r="D160" i="5"/>
  <c r="E160" i="5" s="1"/>
  <c r="F160" i="5" s="1"/>
  <c r="D159" i="5"/>
  <c r="E159" i="5" s="1"/>
  <c r="F159" i="5" s="1"/>
  <c r="D158" i="5"/>
  <c r="E158" i="5" s="1"/>
  <c r="F158" i="5" s="1"/>
  <c r="D157" i="5"/>
  <c r="E157" i="5" s="1"/>
  <c r="F157" i="5" s="1"/>
  <c r="D156" i="5"/>
  <c r="E156" i="5" s="1"/>
  <c r="F156" i="5" s="1"/>
  <c r="D155" i="5"/>
  <c r="E155" i="5" s="1"/>
  <c r="F155" i="5" s="1"/>
  <c r="D154" i="5"/>
  <c r="E154" i="5" s="1"/>
  <c r="F154" i="5" s="1"/>
  <c r="D153" i="5"/>
  <c r="E153" i="5" s="1"/>
  <c r="F153" i="5" s="1"/>
  <c r="D152" i="5"/>
  <c r="E152" i="5" s="1"/>
  <c r="F152" i="5" s="1"/>
  <c r="D151" i="5"/>
  <c r="E151" i="5" s="1"/>
  <c r="F151" i="5" s="1"/>
  <c r="D150" i="5"/>
  <c r="E150" i="5" s="1"/>
  <c r="F150" i="5" s="1"/>
  <c r="D149" i="5"/>
  <c r="E149" i="5" s="1"/>
  <c r="F149" i="5" s="1"/>
  <c r="D148" i="5"/>
  <c r="E148" i="5" s="1"/>
  <c r="F148" i="5" s="1"/>
  <c r="D147" i="5"/>
  <c r="E147" i="5" s="1"/>
  <c r="F147" i="5" s="1"/>
  <c r="D146" i="5"/>
  <c r="E146" i="5" s="1"/>
  <c r="F146" i="5" s="1"/>
  <c r="D145" i="5"/>
  <c r="E145" i="5" s="1"/>
  <c r="F145" i="5" s="1"/>
  <c r="D144" i="5"/>
  <c r="E144" i="5" s="1"/>
  <c r="F144" i="5" s="1"/>
  <c r="D143" i="5"/>
  <c r="E143" i="5" s="1"/>
  <c r="F143" i="5" s="1"/>
  <c r="D142" i="5"/>
  <c r="E142" i="5" s="1"/>
  <c r="F142" i="5" s="1"/>
  <c r="D141" i="5"/>
  <c r="E141" i="5" s="1"/>
  <c r="F141" i="5" s="1"/>
  <c r="D140" i="5"/>
  <c r="E140" i="5" s="1"/>
  <c r="F140" i="5" s="1"/>
  <c r="D139" i="5"/>
  <c r="E139" i="5" s="1"/>
  <c r="F139" i="5" s="1"/>
  <c r="E138" i="5"/>
  <c r="F138" i="5" s="1"/>
  <c r="D138" i="5"/>
  <c r="D137" i="5"/>
  <c r="E137" i="5" s="1"/>
  <c r="F137" i="5" s="1"/>
  <c r="D136" i="5"/>
  <c r="E136" i="5" s="1"/>
  <c r="F136" i="5" s="1"/>
  <c r="D135" i="5"/>
  <c r="E135" i="5" s="1"/>
  <c r="F135" i="5" s="1"/>
  <c r="D134" i="5"/>
  <c r="E134" i="5" s="1"/>
  <c r="F134" i="5" s="1"/>
  <c r="D133" i="5"/>
  <c r="E133" i="5" s="1"/>
  <c r="F133" i="5" s="1"/>
  <c r="D132" i="5"/>
  <c r="E132" i="5" s="1"/>
  <c r="F132" i="5" s="1"/>
  <c r="D131" i="5"/>
  <c r="E131" i="5" s="1"/>
  <c r="F131" i="5" s="1"/>
  <c r="D130" i="5"/>
  <c r="E130" i="5" s="1"/>
  <c r="F130" i="5" s="1"/>
  <c r="D129" i="5"/>
  <c r="E129" i="5" s="1"/>
  <c r="F129" i="5" s="1"/>
  <c r="D128" i="5"/>
  <c r="E128" i="5" s="1"/>
  <c r="F128" i="5" s="1"/>
  <c r="D127" i="5"/>
  <c r="E127" i="5" s="1"/>
  <c r="F127" i="5" s="1"/>
  <c r="D126" i="5"/>
  <c r="E126" i="5" s="1"/>
  <c r="F126" i="5" s="1"/>
  <c r="D125" i="5"/>
  <c r="E125" i="5" s="1"/>
  <c r="F125" i="5" s="1"/>
  <c r="D124" i="5"/>
  <c r="E124" i="5" s="1"/>
  <c r="F124" i="5" s="1"/>
  <c r="D123" i="5"/>
  <c r="E123" i="5" s="1"/>
  <c r="F123" i="5" s="1"/>
  <c r="E122" i="5"/>
  <c r="F122" i="5" s="1"/>
  <c r="D122" i="5"/>
  <c r="D121" i="5"/>
  <c r="E121" i="5" s="1"/>
  <c r="F121" i="5" s="1"/>
  <c r="D120" i="5"/>
  <c r="E120" i="5" s="1"/>
  <c r="F120" i="5" s="1"/>
  <c r="D119" i="5"/>
  <c r="E119" i="5" s="1"/>
  <c r="F119" i="5" s="1"/>
  <c r="D118" i="5"/>
  <c r="E118" i="5" s="1"/>
  <c r="F118" i="5" s="1"/>
  <c r="D117" i="5"/>
  <c r="E117" i="5" s="1"/>
  <c r="F117" i="5" s="1"/>
  <c r="D116" i="5"/>
  <c r="E116" i="5" s="1"/>
  <c r="F116" i="5" s="1"/>
  <c r="D115" i="5"/>
  <c r="E115" i="5" s="1"/>
  <c r="F115" i="5" s="1"/>
  <c r="D114" i="5"/>
  <c r="E114" i="5" s="1"/>
  <c r="F114" i="5" s="1"/>
  <c r="D113" i="5"/>
  <c r="E113" i="5" s="1"/>
  <c r="F113" i="5" s="1"/>
  <c r="D112" i="5"/>
  <c r="E112" i="5" s="1"/>
  <c r="F112" i="5" s="1"/>
  <c r="D111" i="5"/>
  <c r="E111" i="5" s="1"/>
  <c r="F111" i="5" s="1"/>
  <c r="D110" i="5"/>
  <c r="E110" i="5" s="1"/>
  <c r="F110" i="5" s="1"/>
  <c r="D109" i="5"/>
  <c r="E109" i="5" s="1"/>
  <c r="F109" i="5" s="1"/>
  <c r="D108" i="5"/>
  <c r="E108" i="5" s="1"/>
  <c r="F108" i="5" s="1"/>
  <c r="D107" i="5"/>
  <c r="E107" i="5" s="1"/>
  <c r="F107" i="5" s="1"/>
  <c r="E106" i="5"/>
  <c r="F106" i="5" s="1"/>
  <c r="D106" i="5"/>
  <c r="D105" i="5"/>
  <c r="E105" i="5" s="1"/>
  <c r="F105" i="5" s="1"/>
  <c r="D104" i="5"/>
  <c r="E104" i="5" s="1"/>
  <c r="F104" i="5" s="1"/>
  <c r="D103" i="5"/>
  <c r="E103" i="5" s="1"/>
  <c r="F103" i="5" s="1"/>
  <c r="D102" i="5"/>
  <c r="E102" i="5" s="1"/>
  <c r="F102" i="5" s="1"/>
  <c r="D101" i="5"/>
  <c r="E101" i="5" s="1"/>
  <c r="F101" i="5" s="1"/>
  <c r="D100" i="5"/>
  <c r="E100" i="5" s="1"/>
  <c r="F100" i="5" s="1"/>
  <c r="D99" i="5"/>
  <c r="E99" i="5" s="1"/>
  <c r="F99" i="5" s="1"/>
  <c r="D98" i="5"/>
  <c r="E98" i="5" s="1"/>
  <c r="F98" i="5" s="1"/>
  <c r="D97" i="5"/>
  <c r="E97" i="5" s="1"/>
  <c r="F97" i="5" s="1"/>
  <c r="D96" i="5"/>
  <c r="E96" i="5" s="1"/>
  <c r="F96" i="5" s="1"/>
  <c r="D95" i="5"/>
  <c r="E95" i="5" s="1"/>
  <c r="F95" i="5" s="1"/>
  <c r="D94" i="5"/>
  <c r="E94" i="5" s="1"/>
  <c r="F94" i="5" s="1"/>
  <c r="D93" i="5"/>
  <c r="E93" i="5" s="1"/>
  <c r="F93" i="5" s="1"/>
  <c r="D92" i="5"/>
  <c r="E92" i="5" s="1"/>
  <c r="F92" i="5" s="1"/>
  <c r="D91" i="5"/>
  <c r="E91" i="5" s="1"/>
  <c r="F91" i="5" s="1"/>
  <c r="E90" i="5"/>
  <c r="F90" i="5" s="1"/>
  <c r="D90" i="5"/>
  <c r="D89" i="5"/>
  <c r="E89" i="5" s="1"/>
  <c r="F89" i="5" s="1"/>
  <c r="D88" i="5"/>
  <c r="E88" i="5" s="1"/>
  <c r="F88" i="5" s="1"/>
  <c r="D87" i="5"/>
  <c r="E87" i="5" s="1"/>
  <c r="F87" i="5" s="1"/>
  <c r="D86" i="5"/>
  <c r="E86" i="5" s="1"/>
  <c r="F86" i="5" s="1"/>
  <c r="D85" i="5"/>
  <c r="E85" i="5" s="1"/>
  <c r="F85" i="5" s="1"/>
  <c r="D84" i="5"/>
  <c r="E84" i="5" s="1"/>
  <c r="F84" i="5" s="1"/>
  <c r="D83" i="5"/>
  <c r="E83" i="5" s="1"/>
  <c r="F83" i="5" s="1"/>
  <c r="D82" i="5"/>
  <c r="E82" i="5" s="1"/>
  <c r="F82" i="5" s="1"/>
  <c r="D81" i="5"/>
  <c r="E81" i="5" s="1"/>
  <c r="F81" i="5" s="1"/>
  <c r="D80" i="5"/>
  <c r="E80" i="5" s="1"/>
  <c r="F80" i="5" s="1"/>
  <c r="D79" i="5"/>
  <c r="E79" i="5" s="1"/>
  <c r="F79" i="5" s="1"/>
  <c r="D78" i="5"/>
  <c r="E78" i="5" s="1"/>
  <c r="F78" i="5" s="1"/>
  <c r="D77" i="5"/>
  <c r="E77" i="5" s="1"/>
  <c r="F77" i="5" s="1"/>
  <c r="D76" i="5"/>
  <c r="E76" i="5" s="1"/>
  <c r="F76" i="5" s="1"/>
  <c r="D75" i="5"/>
  <c r="E75" i="5" s="1"/>
  <c r="F75" i="5" s="1"/>
  <c r="E74" i="5"/>
  <c r="F74" i="5" s="1"/>
  <c r="D74" i="5"/>
  <c r="D73" i="5"/>
  <c r="E73" i="5" s="1"/>
  <c r="F73" i="5" s="1"/>
  <c r="D72" i="5"/>
  <c r="E72" i="5" s="1"/>
  <c r="F72" i="5" s="1"/>
  <c r="D71" i="5"/>
  <c r="E71" i="5" s="1"/>
  <c r="F71" i="5" s="1"/>
  <c r="D70" i="5"/>
  <c r="E70" i="5" s="1"/>
  <c r="F70" i="5" s="1"/>
  <c r="D69" i="5"/>
  <c r="E69" i="5" s="1"/>
  <c r="F69" i="5" s="1"/>
  <c r="D68" i="5"/>
  <c r="E68" i="5" s="1"/>
  <c r="F68" i="5" s="1"/>
  <c r="D67" i="5"/>
  <c r="E67" i="5" s="1"/>
  <c r="F67" i="5" s="1"/>
  <c r="D66" i="5"/>
  <c r="E66" i="5" s="1"/>
  <c r="F66" i="5" s="1"/>
  <c r="D65" i="5"/>
  <c r="E65" i="5" s="1"/>
  <c r="F65" i="5" s="1"/>
  <c r="D64" i="5"/>
  <c r="E64" i="5" s="1"/>
  <c r="F64" i="5" s="1"/>
  <c r="D63" i="5"/>
  <c r="E63" i="5" s="1"/>
  <c r="F63" i="5" s="1"/>
  <c r="D62" i="5"/>
  <c r="E62" i="5" s="1"/>
  <c r="F62" i="5" s="1"/>
  <c r="D61" i="5"/>
  <c r="E61" i="5" s="1"/>
  <c r="F61" i="5" s="1"/>
  <c r="D60" i="5"/>
  <c r="E60" i="5" s="1"/>
  <c r="F60" i="5" s="1"/>
  <c r="D59" i="5"/>
  <c r="E59" i="5" s="1"/>
  <c r="F59" i="5" s="1"/>
  <c r="E58" i="5"/>
  <c r="F58" i="5" s="1"/>
  <c r="D58" i="5"/>
  <c r="D57" i="5"/>
  <c r="E57" i="5" s="1"/>
  <c r="F57" i="5" s="1"/>
  <c r="D56" i="5"/>
  <c r="E56" i="5" s="1"/>
  <c r="F56" i="5" s="1"/>
  <c r="D55" i="5"/>
  <c r="E55" i="5" s="1"/>
  <c r="F55" i="5" s="1"/>
  <c r="D54" i="5"/>
  <c r="E54" i="5" s="1"/>
  <c r="F54" i="5" s="1"/>
  <c r="D53" i="5"/>
  <c r="E53" i="5" s="1"/>
  <c r="F53" i="5" s="1"/>
  <c r="E52" i="5"/>
  <c r="F52" i="5" s="1"/>
  <c r="D52" i="5"/>
  <c r="D51" i="5"/>
  <c r="E51" i="5" s="1"/>
  <c r="F51" i="5" s="1"/>
  <c r="D50" i="5"/>
  <c r="E50" i="5" s="1"/>
  <c r="F50" i="5" s="1"/>
  <c r="D49" i="5"/>
  <c r="E49" i="5" s="1"/>
  <c r="F49" i="5" s="1"/>
  <c r="D48" i="5"/>
  <c r="E48" i="5" s="1"/>
  <c r="F48" i="5" s="1"/>
  <c r="D47" i="5"/>
  <c r="E47" i="5" s="1"/>
  <c r="F47" i="5" s="1"/>
  <c r="D46" i="5"/>
  <c r="E46" i="5" s="1"/>
  <c r="F46" i="5" s="1"/>
  <c r="D45" i="5"/>
  <c r="E45" i="5" s="1"/>
  <c r="F45" i="5" s="1"/>
  <c r="D44" i="5"/>
  <c r="E44" i="5" s="1"/>
  <c r="F44" i="5" s="1"/>
  <c r="E43" i="5"/>
  <c r="F43" i="5" s="1"/>
  <c r="D43" i="5"/>
  <c r="D42" i="5"/>
  <c r="E42" i="5" s="1"/>
  <c r="F42" i="5" s="1"/>
  <c r="D41" i="5"/>
  <c r="E41" i="5" s="1"/>
  <c r="F41" i="5" s="1"/>
  <c r="D40" i="5"/>
  <c r="E40" i="5" s="1"/>
  <c r="F40" i="5" s="1"/>
  <c r="D39" i="5"/>
  <c r="E39" i="5" s="1"/>
  <c r="F39" i="5" s="1"/>
  <c r="E38" i="5"/>
  <c r="F38" i="5" s="1"/>
  <c r="D38" i="5"/>
  <c r="D37" i="5"/>
  <c r="E37" i="5" s="1"/>
  <c r="F37" i="5" s="1"/>
  <c r="D36" i="5"/>
  <c r="E36" i="5" s="1"/>
  <c r="F36" i="5" s="1"/>
  <c r="D35" i="5"/>
  <c r="E35" i="5" s="1"/>
  <c r="F35" i="5" s="1"/>
  <c r="D34" i="5"/>
  <c r="E34" i="5" s="1"/>
  <c r="F34" i="5" s="1"/>
  <c r="D33" i="5"/>
  <c r="E33" i="5" s="1"/>
  <c r="F33" i="5" s="1"/>
  <c r="D32" i="5"/>
  <c r="E32" i="5" s="1"/>
  <c r="F32" i="5" s="1"/>
  <c r="D31" i="5"/>
  <c r="E31" i="5" s="1"/>
  <c r="F31" i="5" s="1"/>
  <c r="D30" i="5"/>
  <c r="E30" i="5" s="1"/>
  <c r="F30" i="5" s="1"/>
  <c r="D29" i="5"/>
  <c r="E29" i="5" s="1"/>
  <c r="F29" i="5" s="1"/>
  <c r="E28" i="5"/>
  <c r="F28" i="5" s="1"/>
  <c r="D28" i="5"/>
  <c r="D27" i="5"/>
  <c r="E27" i="5" s="1"/>
  <c r="F27" i="5" s="1"/>
  <c r="D26" i="5"/>
  <c r="E26" i="5" s="1"/>
  <c r="F26" i="5" s="1"/>
  <c r="D25" i="5"/>
  <c r="E25" i="5" s="1"/>
  <c r="F25" i="5" s="1"/>
  <c r="D24" i="5"/>
  <c r="E24" i="5" s="1"/>
  <c r="F24" i="5" s="1"/>
  <c r="D23" i="5"/>
  <c r="E23" i="5" s="1"/>
  <c r="F23" i="5" s="1"/>
  <c r="D22" i="5"/>
  <c r="E22" i="5" s="1"/>
  <c r="F22" i="5" s="1"/>
  <c r="D21" i="5"/>
  <c r="E21" i="5" s="1"/>
  <c r="F21" i="5" s="1"/>
  <c r="E20" i="5"/>
  <c r="F20" i="5" s="1"/>
  <c r="D20" i="5"/>
  <c r="D19" i="5"/>
  <c r="E19" i="5" s="1"/>
  <c r="F19" i="5" s="1"/>
  <c r="D18" i="5"/>
  <c r="E18" i="5" s="1"/>
  <c r="F18" i="5" s="1"/>
  <c r="D17" i="5"/>
  <c r="E17" i="5" s="1"/>
  <c r="F17" i="5" s="1"/>
  <c r="D16" i="5"/>
  <c r="E16" i="5" s="1"/>
  <c r="F16" i="5" s="1"/>
  <c r="D15" i="5"/>
  <c r="E15" i="5" s="1"/>
  <c r="F15" i="5" s="1"/>
  <c r="E14" i="5"/>
  <c r="F14" i="5" s="1"/>
  <c r="D14" i="5"/>
  <c r="D13" i="5"/>
  <c r="E13" i="5" s="1"/>
  <c r="F13" i="5" s="1"/>
  <c r="D12" i="5"/>
  <c r="E12" i="5" s="1"/>
  <c r="F12" i="5" s="1"/>
  <c r="D11" i="5"/>
  <c r="E11" i="5" s="1"/>
  <c r="F11" i="5" s="1"/>
  <c r="D10" i="5"/>
  <c r="E10" i="5" s="1"/>
  <c r="F10" i="5" s="1"/>
  <c r="D9" i="5"/>
  <c r="E9" i="5" s="1"/>
  <c r="F9" i="5" s="1"/>
  <c r="D8" i="5"/>
  <c r="E8" i="5" s="1"/>
  <c r="F8" i="5" s="1"/>
  <c r="D7" i="5"/>
  <c r="E7" i="5" s="1"/>
  <c r="F7" i="5" s="1"/>
  <c r="D6" i="5"/>
  <c r="E6" i="5" s="1"/>
  <c r="F6" i="5" s="1"/>
  <c r="D5" i="5"/>
  <c r="E5" i="5" s="1"/>
  <c r="F5" i="5" s="1"/>
  <c r="E4" i="5"/>
  <c r="F4" i="5" s="1"/>
  <c r="D4" i="5"/>
  <c r="D3" i="5"/>
  <c r="E3" i="5" s="1"/>
  <c r="F3" i="5" s="1"/>
  <c r="D2" i="5"/>
  <c r="E2" i="5" s="1"/>
  <c r="F2" i="5" s="1"/>
  <c r="M11" i="4"/>
  <c r="D201" i="4"/>
  <c r="E201" i="4" s="1"/>
  <c r="F201" i="4" s="1"/>
  <c r="D200" i="4"/>
  <c r="E200" i="4" s="1"/>
  <c r="F200" i="4" s="1"/>
  <c r="D199" i="4"/>
  <c r="E199" i="4" s="1"/>
  <c r="F199" i="4" s="1"/>
  <c r="D198" i="4"/>
  <c r="E198" i="4" s="1"/>
  <c r="F198" i="4" s="1"/>
  <c r="D197" i="4"/>
  <c r="E197" i="4" s="1"/>
  <c r="F197" i="4" s="1"/>
  <c r="D196" i="4"/>
  <c r="E196" i="4" s="1"/>
  <c r="F196" i="4" s="1"/>
  <c r="D195" i="4"/>
  <c r="E195" i="4" s="1"/>
  <c r="F195" i="4" s="1"/>
  <c r="D194" i="4"/>
  <c r="E194" i="4" s="1"/>
  <c r="F194" i="4" s="1"/>
  <c r="D193" i="4"/>
  <c r="E193" i="4" s="1"/>
  <c r="F193" i="4" s="1"/>
  <c r="D192" i="4"/>
  <c r="E192" i="4" s="1"/>
  <c r="F192" i="4" s="1"/>
  <c r="D191" i="4"/>
  <c r="E191" i="4" s="1"/>
  <c r="F191" i="4" s="1"/>
  <c r="D190" i="4"/>
  <c r="E190" i="4" s="1"/>
  <c r="F190" i="4" s="1"/>
  <c r="D189" i="4"/>
  <c r="E189" i="4" s="1"/>
  <c r="F189" i="4" s="1"/>
  <c r="D188" i="4"/>
  <c r="E188" i="4" s="1"/>
  <c r="F188" i="4" s="1"/>
  <c r="E187" i="4"/>
  <c r="F187" i="4" s="1"/>
  <c r="D187" i="4"/>
  <c r="D186" i="4"/>
  <c r="E186" i="4" s="1"/>
  <c r="F186" i="4" s="1"/>
  <c r="D185" i="4"/>
  <c r="E185" i="4" s="1"/>
  <c r="F185" i="4" s="1"/>
  <c r="D184" i="4"/>
  <c r="E184" i="4" s="1"/>
  <c r="F184" i="4" s="1"/>
  <c r="D183" i="4"/>
  <c r="E183" i="4" s="1"/>
  <c r="F183" i="4" s="1"/>
  <c r="D182" i="4"/>
  <c r="E182" i="4" s="1"/>
  <c r="F182" i="4" s="1"/>
  <c r="D181" i="4"/>
  <c r="E181" i="4" s="1"/>
  <c r="F181" i="4" s="1"/>
  <c r="D180" i="4"/>
  <c r="E180" i="4" s="1"/>
  <c r="F180" i="4" s="1"/>
  <c r="D179" i="4"/>
  <c r="E179" i="4" s="1"/>
  <c r="F179" i="4" s="1"/>
  <c r="D178" i="4"/>
  <c r="E178" i="4" s="1"/>
  <c r="F178" i="4" s="1"/>
  <c r="D177" i="4"/>
  <c r="E177" i="4" s="1"/>
  <c r="F177" i="4" s="1"/>
  <c r="D176" i="4"/>
  <c r="E176" i="4" s="1"/>
  <c r="F176" i="4" s="1"/>
  <c r="D175" i="4"/>
  <c r="E175" i="4" s="1"/>
  <c r="F175" i="4" s="1"/>
  <c r="D174" i="4"/>
  <c r="E174" i="4" s="1"/>
  <c r="F174" i="4" s="1"/>
  <c r="D173" i="4"/>
  <c r="E173" i="4" s="1"/>
  <c r="F173" i="4" s="1"/>
  <c r="D172" i="4"/>
  <c r="E172" i="4" s="1"/>
  <c r="F172" i="4" s="1"/>
  <c r="D171" i="4"/>
  <c r="E171" i="4" s="1"/>
  <c r="F171" i="4" s="1"/>
  <c r="D170" i="4"/>
  <c r="E170" i="4" s="1"/>
  <c r="F170" i="4" s="1"/>
  <c r="D169" i="4"/>
  <c r="E169" i="4" s="1"/>
  <c r="F169" i="4" s="1"/>
  <c r="D168" i="4"/>
  <c r="E168" i="4" s="1"/>
  <c r="F168" i="4" s="1"/>
  <c r="D167" i="4"/>
  <c r="E167" i="4" s="1"/>
  <c r="F167" i="4" s="1"/>
  <c r="D166" i="4"/>
  <c r="E166" i="4" s="1"/>
  <c r="F166" i="4" s="1"/>
  <c r="D165" i="4"/>
  <c r="E165" i="4" s="1"/>
  <c r="F165" i="4" s="1"/>
  <c r="D164" i="4"/>
  <c r="E164" i="4" s="1"/>
  <c r="F164" i="4" s="1"/>
  <c r="E163" i="4"/>
  <c r="F163" i="4" s="1"/>
  <c r="D163" i="4"/>
  <c r="D162" i="4"/>
  <c r="E162" i="4" s="1"/>
  <c r="F162" i="4" s="1"/>
  <c r="D161" i="4"/>
  <c r="E161" i="4" s="1"/>
  <c r="F161" i="4" s="1"/>
  <c r="D160" i="4"/>
  <c r="E160" i="4" s="1"/>
  <c r="F160" i="4" s="1"/>
  <c r="D159" i="4"/>
  <c r="E159" i="4" s="1"/>
  <c r="F159" i="4" s="1"/>
  <c r="D158" i="4"/>
  <c r="E158" i="4" s="1"/>
  <c r="F158" i="4" s="1"/>
  <c r="D157" i="4"/>
  <c r="E157" i="4" s="1"/>
  <c r="F157" i="4" s="1"/>
  <c r="D156" i="4"/>
  <c r="E156" i="4" s="1"/>
  <c r="F156" i="4" s="1"/>
  <c r="D155" i="4"/>
  <c r="E155" i="4" s="1"/>
  <c r="F155" i="4" s="1"/>
  <c r="D154" i="4"/>
  <c r="E154" i="4" s="1"/>
  <c r="F154" i="4" s="1"/>
  <c r="D153" i="4"/>
  <c r="E153" i="4" s="1"/>
  <c r="F153" i="4" s="1"/>
  <c r="D152" i="4"/>
  <c r="E152" i="4" s="1"/>
  <c r="F152" i="4" s="1"/>
  <c r="D151" i="4"/>
  <c r="E151" i="4" s="1"/>
  <c r="F151" i="4" s="1"/>
  <c r="D150" i="4"/>
  <c r="E150" i="4" s="1"/>
  <c r="F150" i="4" s="1"/>
  <c r="D149" i="4"/>
  <c r="E149" i="4" s="1"/>
  <c r="F149" i="4" s="1"/>
  <c r="D148" i="4"/>
  <c r="E148" i="4" s="1"/>
  <c r="F148" i="4" s="1"/>
  <c r="D147" i="4"/>
  <c r="E147" i="4" s="1"/>
  <c r="F147" i="4" s="1"/>
  <c r="D146" i="4"/>
  <c r="E146" i="4" s="1"/>
  <c r="F146" i="4" s="1"/>
  <c r="D145" i="4"/>
  <c r="E145" i="4" s="1"/>
  <c r="F145" i="4" s="1"/>
  <c r="D144" i="4"/>
  <c r="E144" i="4" s="1"/>
  <c r="F144" i="4" s="1"/>
  <c r="D143" i="4"/>
  <c r="E143" i="4" s="1"/>
  <c r="F143" i="4" s="1"/>
  <c r="D142" i="4"/>
  <c r="E142" i="4" s="1"/>
  <c r="F142" i="4" s="1"/>
  <c r="D141" i="4"/>
  <c r="E141" i="4" s="1"/>
  <c r="F141" i="4" s="1"/>
  <c r="D140" i="4"/>
  <c r="E140" i="4" s="1"/>
  <c r="F140" i="4" s="1"/>
  <c r="E139" i="4"/>
  <c r="F139" i="4" s="1"/>
  <c r="D139" i="4"/>
  <c r="D138" i="4"/>
  <c r="E138" i="4" s="1"/>
  <c r="F138" i="4" s="1"/>
  <c r="D137" i="4"/>
  <c r="E137" i="4" s="1"/>
  <c r="F137" i="4" s="1"/>
  <c r="D136" i="4"/>
  <c r="E136" i="4" s="1"/>
  <c r="F136" i="4" s="1"/>
  <c r="D135" i="4"/>
  <c r="E135" i="4" s="1"/>
  <c r="F135" i="4" s="1"/>
  <c r="D134" i="4"/>
  <c r="E134" i="4" s="1"/>
  <c r="F134" i="4" s="1"/>
  <c r="D133" i="4"/>
  <c r="E133" i="4" s="1"/>
  <c r="F133" i="4" s="1"/>
  <c r="D132" i="4"/>
  <c r="E132" i="4" s="1"/>
  <c r="F132" i="4" s="1"/>
  <c r="D131" i="4"/>
  <c r="E131" i="4" s="1"/>
  <c r="F131" i="4" s="1"/>
  <c r="D130" i="4"/>
  <c r="E130" i="4" s="1"/>
  <c r="F130" i="4" s="1"/>
  <c r="D129" i="4"/>
  <c r="E129" i="4" s="1"/>
  <c r="F129" i="4" s="1"/>
  <c r="D128" i="4"/>
  <c r="E128" i="4" s="1"/>
  <c r="F128" i="4" s="1"/>
  <c r="D127" i="4"/>
  <c r="E127" i="4" s="1"/>
  <c r="F127" i="4" s="1"/>
  <c r="D126" i="4"/>
  <c r="E126" i="4" s="1"/>
  <c r="F126" i="4" s="1"/>
  <c r="D125" i="4"/>
  <c r="E125" i="4" s="1"/>
  <c r="F125" i="4" s="1"/>
  <c r="D124" i="4"/>
  <c r="E124" i="4" s="1"/>
  <c r="F124" i="4" s="1"/>
  <c r="D123" i="4"/>
  <c r="E123" i="4" s="1"/>
  <c r="F123" i="4" s="1"/>
  <c r="D122" i="4"/>
  <c r="E122" i="4" s="1"/>
  <c r="F122" i="4" s="1"/>
  <c r="D121" i="4"/>
  <c r="E121" i="4" s="1"/>
  <c r="F121" i="4" s="1"/>
  <c r="D120" i="4"/>
  <c r="E120" i="4" s="1"/>
  <c r="F120" i="4" s="1"/>
  <c r="D119" i="4"/>
  <c r="E119" i="4" s="1"/>
  <c r="F119" i="4" s="1"/>
  <c r="D118" i="4"/>
  <c r="E118" i="4" s="1"/>
  <c r="F118" i="4" s="1"/>
  <c r="D117" i="4"/>
  <c r="E117" i="4" s="1"/>
  <c r="F117" i="4" s="1"/>
  <c r="D116" i="4"/>
  <c r="E116" i="4" s="1"/>
  <c r="F116" i="4" s="1"/>
  <c r="E115" i="4"/>
  <c r="F115" i="4" s="1"/>
  <c r="D115" i="4"/>
  <c r="D114" i="4"/>
  <c r="E114" i="4" s="1"/>
  <c r="F114" i="4" s="1"/>
  <c r="D113" i="4"/>
  <c r="E113" i="4" s="1"/>
  <c r="F113" i="4" s="1"/>
  <c r="D112" i="4"/>
  <c r="E112" i="4" s="1"/>
  <c r="F112" i="4" s="1"/>
  <c r="D111" i="4"/>
  <c r="E111" i="4" s="1"/>
  <c r="F111" i="4" s="1"/>
  <c r="D110" i="4"/>
  <c r="E110" i="4" s="1"/>
  <c r="F110" i="4" s="1"/>
  <c r="D109" i="4"/>
  <c r="E109" i="4" s="1"/>
  <c r="F109" i="4" s="1"/>
  <c r="D108" i="4"/>
  <c r="E108" i="4" s="1"/>
  <c r="F108" i="4" s="1"/>
  <c r="D107" i="4"/>
  <c r="E107" i="4" s="1"/>
  <c r="F107" i="4" s="1"/>
  <c r="D106" i="4"/>
  <c r="E106" i="4" s="1"/>
  <c r="F106" i="4" s="1"/>
  <c r="D105" i="4"/>
  <c r="E105" i="4" s="1"/>
  <c r="F105" i="4" s="1"/>
  <c r="D104" i="4"/>
  <c r="E104" i="4" s="1"/>
  <c r="F104" i="4" s="1"/>
  <c r="D103" i="4"/>
  <c r="E103" i="4" s="1"/>
  <c r="F103" i="4" s="1"/>
  <c r="D102" i="4"/>
  <c r="E102" i="4" s="1"/>
  <c r="F102" i="4" s="1"/>
  <c r="D101" i="4"/>
  <c r="E101" i="4" s="1"/>
  <c r="F101" i="4" s="1"/>
  <c r="D100" i="4"/>
  <c r="E100" i="4" s="1"/>
  <c r="F100" i="4" s="1"/>
  <c r="D99" i="4"/>
  <c r="E99" i="4" s="1"/>
  <c r="F99" i="4" s="1"/>
  <c r="D98" i="4"/>
  <c r="E98" i="4" s="1"/>
  <c r="F98" i="4" s="1"/>
  <c r="D97" i="4"/>
  <c r="E97" i="4" s="1"/>
  <c r="F97" i="4" s="1"/>
  <c r="D96" i="4"/>
  <c r="E96" i="4" s="1"/>
  <c r="F96" i="4" s="1"/>
  <c r="D95" i="4"/>
  <c r="E95" i="4" s="1"/>
  <c r="F95" i="4" s="1"/>
  <c r="D94" i="4"/>
  <c r="E94" i="4" s="1"/>
  <c r="F94" i="4" s="1"/>
  <c r="D93" i="4"/>
  <c r="E93" i="4" s="1"/>
  <c r="F93" i="4" s="1"/>
  <c r="D92" i="4"/>
  <c r="E92" i="4" s="1"/>
  <c r="F92" i="4" s="1"/>
  <c r="E91" i="4"/>
  <c r="F91" i="4" s="1"/>
  <c r="D91" i="4"/>
  <c r="D90" i="4"/>
  <c r="E90" i="4" s="1"/>
  <c r="F90" i="4" s="1"/>
  <c r="D89" i="4"/>
  <c r="E89" i="4" s="1"/>
  <c r="F89" i="4" s="1"/>
  <c r="D88" i="4"/>
  <c r="E88" i="4" s="1"/>
  <c r="F88" i="4" s="1"/>
  <c r="D87" i="4"/>
  <c r="E87" i="4" s="1"/>
  <c r="F87" i="4" s="1"/>
  <c r="D86" i="4"/>
  <c r="E86" i="4" s="1"/>
  <c r="F86" i="4" s="1"/>
  <c r="D85" i="4"/>
  <c r="E85" i="4" s="1"/>
  <c r="F85" i="4" s="1"/>
  <c r="D84" i="4"/>
  <c r="E84" i="4" s="1"/>
  <c r="F84" i="4" s="1"/>
  <c r="D83" i="4"/>
  <c r="E83" i="4" s="1"/>
  <c r="F83" i="4" s="1"/>
  <c r="D82" i="4"/>
  <c r="E82" i="4" s="1"/>
  <c r="F82" i="4" s="1"/>
  <c r="D81" i="4"/>
  <c r="E81" i="4" s="1"/>
  <c r="F81" i="4" s="1"/>
  <c r="D80" i="4"/>
  <c r="E80" i="4" s="1"/>
  <c r="F80" i="4" s="1"/>
  <c r="D79" i="4"/>
  <c r="E79" i="4" s="1"/>
  <c r="F79" i="4" s="1"/>
  <c r="D78" i="4"/>
  <c r="E78" i="4" s="1"/>
  <c r="F78" i="4" s="1"/>
  <c r="D77" i="4"/>
  <c r="E77" i="4" s="1"/>
  <c r="F77" i="4" s="1"/>
  <c r="D76" i="4"/>
  <c r="E76" i="4" s="1"/>
  <c r="F76" i="4" s="1"/>
  <c r="D75" i="4"/>
  <c r="E75" i="4" s="1"/>
  <c r="F75" i="4" s="1"/>
  <c r="D74" i="4"/>
  <c r="E74" i="4" s="1"/>
  <c r="F74" i="4" s="1"/>
  <c r="D73" i="4"/>
  <c r="E73" i="4" s="1"/>
  <c r="F73" i="4" s="1"/>
  <c r="D72" i="4"/>
  <c r="E72" i="4" s="1"/>
  <c r="F72" i="4" s="1"/>
  <c r="D71" i="4"/>
  <c r="E71" i="4" s="1"/>
  <c r="F71" i="4" s="1"/>
  <c r="D70" i="4"/>
  <c r="E70" i="4" s="1"/>
  <c r="F70" i="4" s="1"/>
  <c r="D69" i="4"/>
  <c r="E69" i="4" s="1"/>
  <c r="F69" i="4" s="1"/>
  <c r="D68" i="4"/>
  <c r="E68" i="4" s="1"/>
  <c r="F68" i="4" s="1"/>
  <c r="E67" i="4"/>
  <c r="F67" i="4" s="1"/>
  <c r="D67" i="4"/>
  <c r="D66" i="4"/>
  <c r="E66" i="4" s="1"/>
  <c r="F66" i="4" s="1"/>
  <c r="D65" i="4"/>
  <c r="E65" i="4" s="1"/>
  <c r="F65" i="4" s="1"/>
  <c r="D64" i="4"/>
  <c r="E64" i="4" s="1"/>
  <c r="F64" i="4" s="1"/>
  <c r="D63" i="4"/>
  <c r="E63" i="4" s="1"/>
  <c r="F63" i="4" s="1"/>
  <c r="D62" i="4"/>
  <c r="E62" i="4" s="1"/>
  <c r="F62" i="4" s="1"/>
  <c r="D61" i="4"/>
  <c r="E61" i="4" s="1"/>
  <c r="F61" i="4" s="1"/>
  <c r="D60" i="4"/>
  <c r="E60" i="4" s="1"/>
  <c r="F60" i="4" s="1"/>
  <c r="D59" i="4"/>
  <c r="E59" i="4" s="1"/>
  <c r="F59" i="4" s="1"/>
  <c r="E58" i="4"/>
  <c r="F58" i="4" s="1"/>
  <c r="D58" i="4"/>
  <c r="D57" i="4"/>
  <c r="E57" i="4" s="1"/>
  <c r="F57" i="4" s="1"/>
  <c r="D56" i="4"/>
  <c r="E56" i="4" s="1"/>
  <c r="F56" i="4" s="1"/>
  <c r="D55" i="4"/>
  <c r="E55" i="4" s="1"/>
  <c r="F55" i="4" s="1"/>
  <c r="D54" i="4"/>
  <c r="E54" i="4" s="1"/>
  <c r="F54" i="4" s="1"/>
  <c r="D53" i="4"/>
  <c r="E53" i="4" s="1"/>
  <c r="F53" i="4" s="1"/>
  <c r="D52" i="4"/>
  <c r="E52" i="4" s="1"/>
  <c r="F52" i="4" s="1"/>
  <c r="D51" i="4"/>
  <c r="E51" i="4" s="1"/>
  <c r="F51" i="4" s="1"/>
  <c r="D50" i="4"/>
  <c r="E50" i="4" s="1"/>
  <c r="F50" i="4" s="1"/>
  <c r="E49" i="4"/>
  <c r="F49" i="4" s="1"/>
  <c r="D49" i="4"/>
  <c r="D48" i="4"/>
  <c r="E48" i="4" s="1"/>
  <c r="F48" i="4" s="1"/>
  <c r="D47" i="4"/>
  <c r="E47" i="4" s="1"/>
  <c r="F47" i="4" s="1"/>
  <c r="D46" i="4"/>
  <c r="E46" i="4" s="1"/>
  <c r="F46" i="4" s="1"/>
  <c r="D45" i="4"/>
  <c r="E45" i="4" s="1"/>
  <c r="F45" i="4" s="1"/>
  <c r="D44" i="4"/>
  <c r="E44" i="4" s="1"/>
  <c r="F44" i="4" s="1"/>
  <c r="D43" i="4"/>
  <c r="E43" i="4" s="1"/>
  <c r="F43" i="4" s="1"/>
  <c r="D42" i="4"/>
  <c r="E42" i="4" s="1"/>
  <c r="F42" i="4" s="1"/>
  <c r="D41" i="4"/>
  <c r="E41" i="4" s="1"/>
  <c r="F41" i="4" s="1"/>
  <c r="D40" i="4"/>
  <c r="E40" i="4" s="1"/>
  <c r="F40" i="4" s="1"/>
  <c r="D39" i="4"/>
  <c r="E39" i="4" s="1"/>
  <c r="F39" i="4" s="1"/>
  <c r="D38" i="4"/>
  <c r="E38" i="4" s="1"/>
  <c r="F38" i="4" s="1"/>
  <c r="D37" i="4"/>
  <c r="E37" i="4" s="1"/>
  <c r="F37" i="4" s="1"/>
  <c r="E36" i="4"/>
  <c r="F36" i="4" s="1"/>
  <c r="D36" i="4"/>
  <c r="D35" i="4"/>
  <c r="E35" i="4" s="1"/>
  <c r="F35" i="4" s="1"/>
  <c r="D34" i="4"/>
  <c r="E34" i="4" s="1"/>
  <c r="F34" i="4" s="1"/>
  <c r="D33" i="4"/>
  <c r="E33" i="4" s="1"/>
  <c r="F33" i="4" s="1"/>
  <c r="D32" i="4"/>
  <c r="E32" i="4" s="1"/>
  <c r="F32" i="4" s="1"/>
  <c r="D31" i="4"/>
  <c r="E31" i="4" s="1"/>
  <c r="F31" i="4" s="1"/>
  <c r="D30" i="4"/>
  <c r="E30" i="4" s="1"/>
  <c r="F30" i="4" s="1"/>
  <c r="D29" i="4"/>
  <c r="E29" i="4" s="1"/>
  <c r="F29" i="4" s="1"/>
  <c r="D28" i="4"/>
  <c r="E28" i="4" s="1"/>
  <c r="F28" i="4" s="1"/>
  <c r="D27" i="4"/>
  <c r="E27" i="4" s="1"/>
  <c r="F27" i="4" s="1"/>
  <c r="D26" i="4"/>
  <c r="E26" i="4" s="1"/>
  <c r="F26" i="4" s="1"/>
  <c r="D25" i="4"/>
  <c r="E25" i="4" s="1"/>
  <c r="F25" i="4" s="1"/>
  <c r="D24" i="4"/>
  <c r="E24" i="4" s="1"/>
  <c r="F24" i="4" s="1"/>
  <c r="E23" i="4"/>
  <c r="F23" i="4" s="1"/>
  <c r="D23" i="4"/>
  <c r="D22" i="4"/>
  <c r="E22" i="4" s="1"/>
  <c r="F22" i="4" s="1"/>
  <c r="D21" i="4"/>
  <c r="E21" i="4" s="1"/>
  <c r="F21" i="4" s="1"/>
  <c r="D20" i="4"/>
  <c r="E20" i="4" s="1"/>
  <c r="F20" i="4" s="1"/>
  <c r="D19" i="4"/>
  <c r="E19" i="4" s="1"/>
  <c r="F19" i="4" s="1"/>
  <c r="D18" i="4"/>
  <c r="E18" i="4" s="1"/>
  <c r="F18" i="4" s="1"/>
  <c r="D17" i="4"/>
  <c r="E17" i="4" s="1"/>
  <c r="F17" i="4" s="1"/>
  <c r="D16" i="4"/>
  <c r="E16" i="4" s="1"/>
  <c r="F16" i="4" s="1"/>
  <c r="D15" i="4"/>
  <c r="E15" i="4" s="1"/>
  <c r="F15" i="4" s="1"/>
  <c r="D14" i="4"/>
  <c r="E14" i="4" s="1"/>
  <c r="F14" i="4" s="1"/>
  <c r="D13" i="4"/>
  <c r="E13" i="4" s="1"/>
  <c r="F13" i="4" s="1"/>
  <c r="D12" i="4"/>
  <c r="E12" i="4" s="1"/>
  <c r="F12" i="4" s="1"/>
  <c r="D11" i="4"/>
  <c r="E11" i="4" s="1"/>
  <c r="F11" i="4" s="1"/>
  <c r="E10" i="4"/>
  <c r="F10" i="4" s="1"/>
  <c r="D10" i="4"/>
  <c r="D9" i="4"/>
  <c r="E9" i="4" s="1"/>
  <c r="F9" i="4" s="1"/>
  <c r="D8" i="4"/>
  <c r="E8" i="4" s="1"/>
  <c r="F8" i="4" s="1"/>
  <c r="D7" i="4"/>
  <c r="E7" i="4" s="1"/>
  <c r="F7" i="4" s="1"/>
  <c r="D6" i="4"/>
  <c r="E6" i="4" s="1"/>
  <c r="F6" i="4" s="1"/>
  <c r="D5" i="4"/>
  <c r="E5" i="4" s="1"/>
  <c r="F5" i="4" s="1"/>
  <c r="D4" i="4"/>
  <c r="E4" i="4" s="1"/>
  <c r="F4" i="4" s="1"/>
  <c r="E3" i="4"/>
  <c r="F3" i="4" s="1"/>
  <c r="D3" i="4"/>
  <c r="D2" i="4"/>
  <c r="E2" i="4" s="1"/>
  <c r="F2" i="4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<sst xmlns="http://schemas.openxmlformats.org/spreadsheetml/2006/main" count="61" uniqueCount="31">
  <si>
    <t>Order_ID</t>
  </si>
  <si>
    <t>Product_ID</t>
  </si>
  <si>
    <t>Quantity</t>
  </si>
  <si>
    <t>Product_Name</t>
  </si>
  <si>
    <t>Price</t>
  </si>
  <si>
    <t>Laptop</t>
  </si>
  <si>
    <t>Mouse</t>
  </si>
  <si>
    <t>Keyboard</t>
  </si>
  <si>
    <t>Monitor</t>
  </si>
  <si>
    <t>Tablet</t>
  </si>
  <si>
    <t>Phone</t>
  </si>
  <si>
    <t>Camera</t>
  </si>
  <si>
    <t>Printer</t>
  </si>
  <si>
    <t>Desk</t>
  </si>
  <si>
    <t>Chair</t>
  </si>
  <si>
    <t>Fan</t>
  </si>
  <si>
    <t>AC</t>
  </si>
  <si>
    <t>Pen</t>
  </si>
  <si>
    <t>Book</t>
  </si>
  <si>
    <t>Bag</t>
  </si>
  <si>
    <t>Watch</t>
  </si>
  <si>
    <t>TV</t>
  </si>
  <si>
    <t>Speaker</t>
  </si>
  <si>
    <t>Router</t>
  </si>
  <si>
    <t>SSD</t>
  </si>
  <si>
    <t>Product_name</t>
  </si>
  <si>
    <t>Total_price</t>
  </si>
  <si>
    <t>Reverse_xlookup</t>
  </si>
  <si>
    <t>Enter_product_name</t>
  </si>
  <si>
    <t>shoes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</si>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</sst>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/>
    <xf numFmtId="0" fontId="2" fillId="0" borderId="0" xfId="0" applyFont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opLeftCell="A175" workbookViewId="0">
      <selection sqref="A1:C2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5001</v>
      </c>
      <c r="B2">
        <v>3</v>
      </c>
      <c r="C2">
        <v>2</v>
      </c>
    </row>
    <row r="3" spans="1:3" x14ac:dyDescent="0.3">
      <c r="A3">
        <v>5002</v>
      </c>
      <c r="B3">
        <v>11</v>
      </c>
      <c r="C3">
        <v>1</v>
      </c>
    </row>
    <row r="4" spans="1:3" x14ac:dyDescent="0.3">
      <c r="A4">
        <v>5003</v>
      </c>
      <c r="B4">
        <v>2</v>
      </c>
      <c r="C4">
        <v>5</v>
      </c>
    </row>
    <row r="5" spans="1:3" x14ac:dyDescent="0.3">
      <c r="A5">
        <v>5004</v>
      </c>
      <c r="B5">
        <v>4</v>
      </c>
      <c r="C5">
        <v>5</v>
      </c>
    </row>
    <row r="6" spans="1:3" x14ac:dyDescent="0.3">
      <c r="A6">
        <v>5005</v>
      </c>
      <c r="B6">
        <v>14</v>
      </c>
      <c r="C6">
        <v>5</v>
      </c>
    </row>
    <row r="7" spans="1:3" x14ac:dyDescent="0.3">
      <c r="A7">
        <v>5006</v>
      </c>
      <c r="B7">
        <v>5</v>
      </c>
      <c r="C7">
        <v>5</v>
      </c>
    </row>
    <row r="8" spans="1:3" x14ac:dyDescent="0.3">
      <c r="A8">
        <v>5007</v>
      </c>
      <c r="B8">
        <v>3</v>
      </c>
      <c r="C8">
        <v>3</v>
      </c>
    </row>
    <row r="9" spans="1:3" x14ac:dyDescent="0.3">
      <c r="A9">
        <v>5008</v>
      </c>
      <c r="B9">
        <v>8</v>
      </c>
      <c r="C9">
        <v>1</v>
      </c>
    </row>
    <row r="10" spans="1:3" x14ac:dyDescent="0.3">
      <c r="A10">
        <v>5009</v>
      </c>
      <c r="B10">
        <v>6</v>
      </c>
      <c r="C10">
        <v>5</v>
      </c>
    </row>
    <row r="11" spans="1:3" x14ac:dyDescent="0.3">
      <c r="A11">
        <v>5010</v>
      </c>
      <c r="B11">
        <v>16</v>
      </c>
      <c r="C11">
        <v>4</v>
      </c>
    </row>
    <row r="12" spans="1:3" x14ac:dyDescent="0.3">
      <c r="A12">
        <v>5011</v>
      </c>
      <c r="B12">
        <v>15</v>
      </c>
      <c r="C12">
        <v>1</v>
      </c>
    </row>
    <row r="13" spans="1:3" x14ac:dyDescent="0.3">
      <c r="A13">
        <v>5012</v>
      </c>
      <c r="B13">
        <v>12</v>
      </c>
      <c r="C13">
        <v>4</v>
      </c>
    </row>
    <row r="14" spans="1:3" x14ac:dyDescent="0.3">
      <c r="A14">
        <v>5013</v>
      </c>
      <c r="B14">
        <v>19</v>
      </c>
      <c r="C14">
        <v>5</v>
      </c>
    </row>
    <row r="15" spans="1:3" x14ac:dyDescent="0.3">
      <c r="A15">
        <v>5014</v>
      </c>
      <c r="B15">
        <v>4</v>
      </c>
      <c r="C15">
        <v>5</v>
      </c>
    </row>
    <row r="16" spans="1:3" x14ac:dyDescent="0.3">
      <c r="A16">
        <v>5015</v>
      </c>
      <c r="B16">
        <v>15</v>
      </c>
      <c r="C16">
        <v>2</v>
      </c>
    </row>
    <row r="17" spans="1:3" x14ac:dyDescent="0.3">
      <c r="A17">
        <v>5016</v>
      </c>
      <c r="B17">
        <v>6</v>
      </c>
      <c r="C17">
        <v>5</v>
      </c>
    </row>
    <row r="18" spans="1:3" x14ac:dyDescent="0.3">
      <c r="A18">
        <v>5017</v>
      </c>
      <c r="B18">
        <v>4</v>
      </c>
      <c r="C18">
        <v>4</v>
      </c>
    </row>
    <row r="19" spans="1:3" x14ac:dyDescent="0.3">
      <c r="A19">
        <v>5018</v>
      </c>
      <c r="B19">
        <v>5</v>
      </c>
      <c r="C19">
        <v>4</v>
      </c>
    </row>
    <row r="20" spans="1:3" x14ac:dyDescent="0.3">
      <c r="A20">
        <v>5019</v>
      </c>
      <c r="B20">
        <v>17</v>
      </c>
      <c r="C20">
        <v>3</v>
      </c>
    </row>
    <row r="21" spans="1:3" x14ac:dyDescent="0.3">
      <c r="A21">
        <v>5020</v>
      </c>
      <c r="B21">
        <v>10</v>
      </c>
      <c r="C21">
        <v>1</v>
      </c>
    </row>
    <row r="22" spans="1:3" x14ac:dyDescent="0.3">
      <c r="A22">
        <v>5021</v>
      </c>
      <c r="B22">
        <v>7</v>
      </c>
      <c r="C22">
        <v>2</v>
      </c>
    </row>
    <row r="23" spans="1:3" x14ac:dyDescent="0.3">
      <c r="A23">
        <v>5022</v>
      </c>
      <c r="B23">
        <v>7</v>
      </c>
      <c r="C23">
        <v>4</v>
      </c>
    </row>
    <row r="24" spans="1:3" x14ac:dyDescent="0.3">
      <c r="A24">
        <v>5023</v>
      </c>
      <c r="B24">
        <v>20</v>
      </c>
      <c r="C24">
        <v>4</v>
      </c>
    </row>
    <row r="25" spans="1:3" x14ac:dyDescent="0.3">
      <c r="A25">
        <v>5024</v>
      </c>
      <c r="B25">
        <v>12</v>
      </c>
      <c r="C25">
        <v>4</v>
      </c>
    </row>
    <row r="26" spans="1:3" x14ac:dyDescent="0.3">
      <c r="A26">
        <v>5025</v>
      </c>
      <c r="B26">
        <v>10</v>
      </c>
      <c r="C26">
        <v>5</v>
      </c>
    </row>
    <row r="27" spans="1:3" x14ac:dyDescent="0.3">
      <c r="A27">
        <v>5026</v>
      </c>
      <c r="B27">
        <v>3</v>
      </c>
      <c r="C27">
        <v>4</v>
      </c>
    </row>
    <row r="28" spans="1:3" x14ac:dyDescent="0.3">
      <c r="A28">
        <v>5027</v>
      </c>
      <c r="B28">
        <v>2</v>
      </c>
      <c r="C28">
        <v>3</v>
      </c>
    </row>
    <row r="29" spans="1:3" x14ac:dyDescent="0.3">
      <c r="A29">
        <v>5028</v>
      </c>
      <c r="B29">
        <v>19</v>
      </c>
      <c r="C29">
        <v>5</v>
      </c>
    </row>
    <row r="30" spans="1:3" x14ac:dyDescent="0.3">
      <c r="A30">
        <v>5029</v>
      </c>
      <c r="B30">
        <v>4</v>
      </c>
      <c r="C30">
        <v>1</v>
      </c>
    </row>
    <row r="31" spans="1:3" x14ac:dyDescent="0.3">
      <c r="A31">
        <v>5030</v>
      </c>
      <c r="B31">
        <v>20</v>
      </c>
      <c r="C31">
        <v>5</v>
      </c>
    </row>
    <row r="32" spans="1:3" x14ac:dyDescent="0.3">
      <c r="A32">
        <v>5031</v>
      </c>
      <c r="B32">
        <v>9</v>
      </c>
      <c r="C32">
        <v>2</v>
      </c>
    </row>
    <row r="33" spans="1:3" x14ac:dyDescent="0.3">
      <c r="A33">
        <v>5032</v>
      </c>
      <c r="B33">
        <v>7</v>
      </c>
      <c r="C33">
        <v>4</v>
      </c>
    </row>
    <row r="34" spans="1:3" x14ac:dyDescent="0.3">
      <c r="A34">
        <v>5033</v>
      </c>
      <c r="B34">
        <v>11</v>
      </c>
      <c r="C34">
        <v>2</v>
      </c>
    </row>
    <row r="35" spans="1:3" x14ac:dyDescent="0.3">
      <c r="A35">
        <v>5034</v>
      </c>
      <c r="B35">
        <v>4</v>
      </c>
      <c r="C35">
        <v>3</v>
      </c>
    </row>
    <row r="36" spans="1:3" x14ac:dyDescent="0.3">
      <c r="A36">
        <v>5035</v>
      </c>
      <c r="B36">
        <v>2</v>
      </c>
      <c r="C36">
        <v>4</v>
      </c>
    </row>
    <row r="37" spans="1:3" x14ac:dyDescent="0.3">
      <c r="A37">
        <v>5036</v>
      </c>
      <c r="B37">
        <v>8</v>
      </c>
      <c r="C37">
        <v>4</v>
      </c>
    </row>
    <row r="38" spans="1:3" x14ac:dyDescent="0.3">
      <c r="A38">
        <v>5037</v>
      </c>
      <c r="B38">
        <v>4</v>
      </c>
      <c r="C38">
        <v>2</v>
      </c>
    </row>
    <row r="39" spans="1:3" x14ac:dyDescent="0.3">
      <c r="A39">
        <v>5038</v>
      </c>
      <c r="B39">
        <v>18</v>
      </c>
      <c r="C39">
        <v>2</v>
      </c>
    </row>
    <row r="40" spans="1:3" x14ac:dyDescent="0.3">
      <c r="A40">
        <v>5039</v>
      </c>
      <c r="B40">
        <v>5</v>
      </c>
      <c r="C40">
        <v>4</v>
      </c>
    </row>
    <row r="41" spans="1:3" x14ac:dyDescent="0.3">
      <c r="A41">
        <v>5040</v>
      </c>
      <c r="B41">
        <v>8</v>
      </c>
      <c r="C41">
        <v>1</v>
      </c>
    </row>
    <row r="42" spans="1:3" x14ac:dyDescent="0.3">
      <c r="A42">
        <v>5041</v>
      </c>
      <c r="B42">
        <v>8</v>
      </c>
      <c r="C42">
        <v>5</v>
      </c>
    </row>
    <row r="43" spans="1:3" x14ac:dyDescent="0.3">
      <c r="A43">
        <v>5042</v>
      </c>
      <c r="B43">
        <v>11</v>
      </c>
      <c r="C43">
        <v>3</v>
      </c>
    </row>
    <row r="44" spans="1:3" x14ac:dyDescent="0.3">
      <c r="A44">
        <v>5043</v>
      </c>
      <c r="B44">
        <v>12</v>
      </c>
      <c r="C44">
        <v>5</v>
      </c>
    </row>
    <row r="45" spans="1:3" x14ac:dyDescent="0.3">
      <c r="A45">
        <v>5044</v>
      </c>
      <c r="B45">
        <v>9</v>
      </c>
      <c r="C45">
        <v>1</v>
      </c>
    </row>
    <row r="46" spans="1:3" x14ac:dyDescent="0.3">
      <c r="A46">
        <v>5045</v>
      </c>
      <c r="B46">
        <v>2</v>
      </c>
      <c r="C46">
        <v>2</v>
      </c>
    </row>
    <row r="47" spans="1:3" x14ac:dyDescent="0.3">
      <c r="A47">
        <v>5046</v>
      </c>
      <c r="B47">
        <v>19</v>
      </c>
      <c r="C47">
        <v>5</v>
      </c>
    </row>
    <row r="48" spans="1:3" x14ac:dyDescent="0.3">
      <c r="A48">
        <v>5047</v>
      </c>
      <c r="B48">
        <v>2</v>
      </c>
      <c r="C48">
        <v>5</v>
      </c>
    </row>
    <row r="49" spans="1:3" x14ac:dyDescent="0.3">
      <c r="A49">
        <v>5048</v>
      </c>
      <c r="B49">
        <v>2</v>
      </c>
      <c r="C49">
        <v>1</v>
      </c>
    </row>
    <row r="50" spans="1:3" x14ac:dyDescent="0.3">
      <c r="A50">
        <v>5049</v>
      </c>
      <c r="B50">
        <v>17</v>
      </c>
      <c r="C50">
        <v>1</v>
      </c>
    </row>
    <row r="51" spans="1:3" x14ac:dyDescent="0.3">
      <c r="A51">
        <v>5050</v>
      </c>
      <c r="B51">
        <v>17</v>
      </c>
      <c r="C51">
        <v>4</v>
      </c>
    </row>
    <row r="52" spans="1:3" x14ac:dyDescent="0.3">
      <c r="A52">
        <v>5051</v>
      </c>
      <c r="B52">
        <v>11</v>
      </c>
      <c r="C52">
        <v>3</v>
      </c>
    </row>
    <row r="53" spans="1:3" x14ac:dyDescent="0.3">
      <c r="A53">
        <v>5052</v>
      </c>
      <c r="B53">
        <v>13</v>
      </c>
      <c r="C53">
        <v>2</v>
      </c>
    </row>
    <row r="54" spans="1:3" x14ac:dyDescent="0.3">
      <c r="A54">
        <v>5053</v>
      </c>
      <c r="B54">
        <v>11</v>
      </c>
      <c r="C54">
        <v>5</v>
      </c>
    </row>
    <row r="55" spans="1:3" x14ac:dyDescent="0.3">
      <c r="A55">
        <v>5054</v>
      </c>
      <c r="B55">
        <v>13</v>
      </c>
      <c r="C55">
        <v>1</v>
      </c>
    </row>
    <row r="56" spans="1:3" x14ac:dyDescent="0.3">
      <c r="A56">
        <v>5055</v>
      </c>
      <c r="B56">
        <v>20</v>
      </c>
      <c r="C56">
        <v>5</v>
      </c>
    </row>
    <row r="57" spans="1:3" x14ac:dyDescent="0.3">
      <c r="A57">
        <v>5056</v>
      </c>
      <c r="B57">
        <v>17</v>
      </c>
      <c r="C57">
        <v>2</v>
      </c>
    </row>
    <row r="58" spans="1:3" x14ac:dyDescent="0.3">
      <c r="A58">
        <v>5057</v>
      </c>
      <c r="B58">
        <v>4</v>
      </c>
      <c r="C58">
        <v>4</v>
      </c>
    </row>
    <row r="59" spans="1:3" x14ac:dyDescent="0.3">
      <c r="A59">
        <v>5058</v>
      </c>
      <c r="B59">
        <v>1</v>
      </c>
      <c r="C59">
        <v>3</v>
      </c>
    </row>
    <row r="60" spans="1:3" x14ac:dyDescent="0.3">
      <c r="A60">
        <v>5059</v>
      </c>
      <c r="B60">
        <v>5</v>
      </c>
      <c r="C60">
        <v>2</v>
      </c>
    </row>
    <row r="61" spans="1:3" x14ac:dyDescent="0.3">
      <c r="A61">
        <v>5060</v>
      </c>
      <c r="B61">
        <v>12</v>
      </c>
      <c r="C61">
        <v>1</v>
      </c>
    </row>
    <row r="62" spans="1:3" x14ac:dyDescent="0.3">
      <c r="A62">
        <v>5061</v>
      </c>
      <c r="B62">
        <v>10</v>
      </c>
      <c r="C62">
        <v>3</v>
      </c>
    </row>
    <row r="63" spans="1:3" x14ac:dyDescent="0.3">
      <c r="A63">
        <v>5062</v>
      </c>
      <c r="B63">
        <v>12</v>
      </c>
      <c r="C63">
        <v>1</v>
      </c>
    </row>
    <row r="64" spans="1:3" x14ac:dyDescent="0.3">
      <c r="A64">
        <v>5063</v>
      </c>
      <c r="B64">
        <v>3</v>
      </c>
      <c r="C64">
        <v>4</v>
      </c>
    </row>
    <row r="65" spans="1:3" x14ac:dyDescent="0.3">
      <c r="A65">
        <v>5064</v>
      </c>
      <c r="B65">
        <v>1</v>
      </c>
      <c r="C65">
        <v>3</v>
      </c>
    </row>
    <row r="66" spans="1:3" x14ac:dyDescent="0.3">
      <c r="A66">
        <v>5065</v>
      </c>
      <c r="B66">
        <v>11</v>
      </c>
      <c r="C66">
        <v>3</v>
      </c>
    </row>
    <row r="67" spans="1:3" x14ac:dyDescent="0.3">
      <c r="A67">
        <v>5066</v>
      </c>
      <c r="B67">
        <v>16</v>
      </c>
      <c r="C67">
        <v>3</v>
      </c>
    </row>
    <row r="68" spans="1:3" x14ac:dyDescent="0.3">
      <c r="A68">
        <v>5067</v>
      </c>
      <c r="B68">
        <v>16</v>
      </c>
      <c r="C68">
        <v>4</v>
      </c>
    </row>
    <row r="69" spans="1:3" x14ac:dyDescent="0.3">
      <c r="A69">
        <v>5068</v>
      </c>
      <c r="B69">
        <v>16</v>
      </c>
      <c r="C69">
        <v>4</v>
      </c>
    </row>
    <row r="70" spans="1:3" x14ac:dyDescent="0.3">
      <c r="A70">
        <v>5069</v>
      </c>
      <c r="B70">
        <v>8</v>
      </c>
      <c r="C70">
        <v>2</v>
      </c>
    </row>
    <row r="71" spans="1:3" x14ac:dyDescent="0.3">
      <c r="A71">
        <v>5070</v>
      </c>
      <c r="B71">
        <v>15</v>
      </c>
      <c r="C71">
        <v>2</v>
      </c>
    </row>
    <row r="72" spans="1:3" x14ac:dyDescent="0.3">
      <c r="A72">
        <v>5071</v>
      </c>
      <c r="B72">
        <v>9</v>
      </c>
      <c r="C72">
        <v>5</v>
      </c>
    </row>
    <row r="73" spans="1:3" x14ac:dyDescent="0.3">
      <c r="A73">
        <v>5072</v>
      </c>
      <c r="B73">
        <v>9</v>
      </c>
      <c r="C73">
        <v>1</v>
      </c>
    </row>
    <row r="74" spans="1:3" x14ac:dyDescent="0.3">
      <c r="A74">
        <v>5073</v>
      </c>
      <c r="B74">
        <v>19</v>
      </c>
      <c r="C74">
        <v>1</v>
      </c>
    </row>
    <row r="75" spans="1:3" x14ac:dyDescent="0.3">
      <c r="A75">
        <v>5074</v>
      </c>
      <c r="B75">
        <v>19</v>
      </c>
      <c r="C75">
        <v>1</v>
      </c>
    </row>
    <row r="76" spans="1:3" x14ac:dyDescent="0.3">
      <c r="A76">
        <v>5075</v>
      </c>
      <c r="B76">
        <v>20</v>
      </c>
      <c r="C76">
        <v>3</v>
      </c>
    </row>
    <row r="77" spans="1:3" x14ac:dyDescent="0.3">
      <c r="A77">
        <v>5076</v>
      </c>
      <c r="B77">
        <v>12</v>
      </c>
      <c r="C77">
        <v>3</v>
      </c>
    </row>
    <row r="78" spans="1:3" x14ac:dyDescent="0.3">
      <c r="A78">
        <v>5077</v>
      </c>
      <c r="B78">
        <v>12</v>
      </c>
      <c r="C78">
        <v>4</v>
      </c>
    </row>
    <row r="79" spans="1:3" x14ac:dyDescent="0.3">
      <c r="A79">
        <v>5078</v>
      </c>
      <c r="B79">
        <v>3</v>
      </c>
      <c r="C79">
        <v>4</v>
      </c>
    </row>
    <row r="80" spans="1:3" x14ac:dyDescent="0.3">
      <c r="A80">
        <v>5079</v>
      </c>
      <c r="B80">
        <v>14</v>
      </c>
      <c r="C80">
        <v>2</v>
      </c>
    </row>
    <row r="81" spans="1:3" x14ac:dyDescent="0.3">
      <c r="A81">
        <v>5080</v>
      </c>
      <c r="B81">
        <v>7</v>
      </c>
      <c r="C81">
        <v>2</v>
      </c>
    </row>
    <row r="82" spans="1:3" x14ac:dyDescent="0.3">
      <c r="A82">
        <v>5081</v>
      </c>
      <c r="B82">
        <v>7</v>
      </c>
      <c r="C82">
        <v>1</v>
      </c>
    </row>
    <row r="83" spans="1:3" x14ac:dyDescent="0.3">
      <c r="A83">
        <v>5082</v>
      </c>
      <c r="B83">
        <v>11</v>
      </c>
      <c r="C83">
        <v>4</v>
      </c>
    </row>
    <row r="84" spans="1:3" x14ac:dyDescent="0.3">
      <c r="A84">
        <v>5083</v>
      </c>
      <c r="B84">
        <v>1</v>
      </c>
      <c r="C84">
        <v>5</v>
      </c>
    </row>
    <row r="85" spans="1:3" x14ac:dyDescent="0.3">
      <c r="A85">
        <v>5084</v>
      </c>
      <c r="B85">
        <v>10</v>
      </c>
      <c r="C85">
        <v>2</v>
      </c>
    </row>
    <row r="86" spans="1:3" x14ac:dyDescent="0.3">
      <c r="A86">
        <v>5085</v>
      </c>
      <c r="B86">
        <v>18</v>
      </c>
      <c r="C86">
        <v>5</v>
      </c>
    </row>
    <row r="87" spans="1:3" x14ac:dyDescent="0.3">
      <c r="A87">
        <v>5086</v>
      </c>
      <c r="B87">
        <v>16</v>
      </c>
      <c r="C87">
        <v>4</v>
      </c>
    </row>
    <row r="88" spans="1:3" x14ac:dyDescent="0.3">
      <c r="A88">
        <v>5087</v>
      </c>
      <c r="B88">
        <v>12</v>
      </c>
      <c r="C88">
        <v>1</v>
      </c>
    </row>
    <row r="89" spans="1:3" x14ac:dyDescent="0.3">
      <c r="A89">
        <v>5088</v>
      </c>
      <c r="B89">
        <v>7</v>
      </c>
      <c r="C89">
        <v>1</v>
      </c>
    </row>
    <row r="90" spans="1:3" x14ac:dyDescent="0.3">
      <c r="A90">
        <v>5089</v>
      </c>
      <c r="B90">
        <v>17</v>
      </c>
      <c r="C90">
        <v>5</v>
      </c>
    </row>
    <row r="91" spans="1:3" x14ac:dyDescent="0.3">
      <c r="A91">
        <v>5090</v>
      </c>
      <c r="B91">
        <v>18</v>
      </c>
      <c r="C91">
        <v>1</v>
      </c>
    </row>
    <row r="92" spans="1:3" x14ac:dyDescent="0.3">
      <c r="A92">
        <v>5091</v>
      </c>
      <c r="B92">
        <v>6</v>
      </c>
      <c r="C92">
        <v>4</v>
      </c>
    </row>
    <row r="93" spans="1:3" x14ac:dyDescent="0.3">
      <c r="A93">
        <v>5092</v>
      </c>
      <c r="B93">
        <v>8</v>
      </c>
      <c r="C93">
        <v>2</v>
      </c>
    </row>
    <row r="94" spans="1:3" x14ac:dyDescent="0.3">
      <c r="A94">
        <v>5093</v>
      </c>
      <c r="B94">
        <v>14</v>
      </c>
      <c r="C94">
        <v>1</v>
      </c>
    </row>
    <row r="95" spans="1:3" x14ac:dyDescent="0.3">
      <c r="A95">
        <v>5094</v>
      </c>
      <c r="B95">
        <v>7</v>
      </c>
      <c r="C95">
        <v>4</v>
      </c>
    </row>
    <row r="96" spans="1:3" x14ac:dyDescent="0.3">
      <c r="A96">
        <v>5095</v>
      </c>
      <c r="B96">
        <v>16</v>
      </c>
      <c r="C96">
        <v>1</v>
      </c>
    </row>
    <row r="97" spans="1:3" x14ac:dyDescent="0.3">
      <c r="A97">
        <v>5096</v>
      </c>
      <c r="B97">
        <v>20</v>
      </c>
      <c r="C97">
        <v>1</v>
      </c>
    </row>
    <row r="98" spans="1:3" x14ac:dyDescent="0.3">
      <c r="A98">
        <v>5097</v>
      </c>
      <c r="B98">
        <v>6</v>
      </c>
      <c r="C98">
        <v>3</v>
      </c>
    </row>
    <row r="99" spans="1:3" x14ac:dyDescent="0.3">
      <c r="A99">
        <v>5098</v>
      </c>
      <c r="B99">
        <v>14</v>
      </c>
      <c r="C99">
        <v>4</v>
      </c>
    </row>
    <row r="100" spans="1:3" x14ac:dyDescent="0.3">
      <c r="A100">
        <v>5099</v>
      </c>
      <c r="B100">
        <v>2</v>
      </c>
      <c r="C100">
        <v>3</v>
      </c>
    </row>
    <row r="101" spans="1:3" x14ac:dyDescent="0.3">
      <c r="A101">
        <v>5100</v>
      </c>
      <c r="B101">
        <v>16</v>
      </c>
      <c r="C101">
        <v>2</v>
      </c>
    </row>
    <row r="102" spans="1:3" x14ac:dyDescent="0.3">
      <c r="A102">
        <v>5101</v>
      </c>
      <c r="B102">
        <v>4</v>
      </c>
      <c r="C102">
        <v>5</v>
      </c>
    </row>
    <row r="103" spans="1:3" x14ac:dyDescent="0.3">
      <c r="A103">
        <v>5102</v>
      </c>
      <c r="B103">
        <v>10</v>
      </c>
      <c r="C103">
        <v>3</v>
      </c>
    </row>
    <row r="104" spans="1:3" x14ac:dyDescent="0.3">
      <c r="A104">
        <v>5103</v>
      </c>
      <c r="B104">
        <v>2</v>
      </c>
      <c r="C104">
        <v>3</v>
      </c>
    </row>
    <row r="105" spans="1:3" x14ac:dyDescent="0.3">
      <c r="A105">
        <v>5104</v>
      </c>
      <c r="B105">
        <v>16</v>
      </c>
      <c r="C105">
        <v>5</v>
      </c>
    </row>
    <row r="106" spans="1:3" x14ac:dyDescent="0.3">
      <c r="A106">
        <v>5105</v>
      </c>
      <c r="B106">
        <v>20</v>
      </c>
      <c r="C106">
        <v>2</v>
      </c>
    </row>
    <row r="107" spans="1:3" x14ac:dyDescent="0.3">
      <c r="A107">
        <v>5106</v>
      </c>
      <c r="B107">
        <v>3</v>
      </c>
      <c r="C107">
        <v>3</v>
      </c>
    </row>
    <row r="108" spans="1:3" x14ac:dyDescent="0.3">
      <c r="A108">
        <v>5107</v>
      </c>
      <c r="B108">
        <v>4</v>
      </c>
      <c r="C108">
        <v>1</v>
      </c>
    </row>
    <row r="109" spans="1:3" x14ac:dyDescent="0.3">
      <c r="A109">
        <v>5108</v>
      </c>
      <c r="B109">
        <v>12</v>
      </c>
      <c r="C109">
        <v>1</v>
      </c>
    </row>
    <row r="110" spans="1:3" x14ac:dyDescent="0.3">
      <c r="A110">
        <v>5109</v>
      </c>
      <c r="B110">
        <v>2</v>
      </c>
      <c r="C110">
        <v>3</v>
      </c>
    </row>
    <row r="111" spans="1:3" x14ac:dyDescent="0.3">
      <c r="A111">
        <v>5110</v>
      </c>
      <c r="B111">
        <v>4</v>
      </c>
      <c r="C111">
        <v>1</v>
      </c>
    </row>
    <row r="112" spans="1:3" x14ac:dyDescent="0.3">
      <c r="A112">
        <v>5111</v>
      </c>
      <c r="B112">
        <v>9</v>
      </c>
      <c r="C112">
        <v>2</v>
      </c>
    </row>
    <row r="113" spans="1:3" x14ac:dyDescent="0.3">
      <c r="A113">
        <v>5112</v>
      </c>
      <c r="B113">
        <v>4</v>
      </c>
      <c r="C113">
        <v>1</v>
      </c>
    </row>
    <row r="114" spans="1:3" x14ac:dyDescent="0.3">
      <c r="A114">
        <v>5113</v>
      </c>
      <c r="B114">
        <v>9</v>
      </c>
      <c r="C114">
        <v>5</v>
      </c>
    </row>
    <row r="115" spans="1:3" x14ac:dyDescent="0.3">
      <c r="A115">
        <v>5114</v>
      </c>
      <c r="B115">
        <v>16</v>
      </c>
      <c r="C115">
        <v>5</v>
      </c>
    </row>
    <row r="116" spans="1:3" x14ac:dyDescent="0.3">
      <c r="A116">
        <v>5115</v>
      </c>
      <c r="B116">
        <v>5</v>
      </c>
      <c r="C116">
        <v>4</v>
      </c>
    </row>
    <row r="117" spans="1:3" x14ac:dyDescent="0.3">
      <c r="A117">
        <v>5116</v>
      </c>
      <c r="B117">
        <v>14</v>
      </c>
      <c r="C117">
        <v>5</v>
      </c>
    </row>
    <row r="118" spans="1:3" x14ac:dyDescent="0.3">
      <c r="A118">
        <v>5117</v>
      </c>
      <c r="B118">
        <v>7</v>
      </c>
      <c r="C118">
        <v>4</v>
      </c>
    </row>
    <row r="119" spans="1:3" x14ac:dyDescent="0.3">
      <c r="A119">
        <v>5118</v>
      </c>
      <c r="B119">
        <v>20</v>
      </c>
      <c r="C119">
        <v>4</v>
      </c>
    </row>
    <row r="120" spans="1:3" x14ac:dyDescent="0.3">
      <c r="A120">
        <v>5119</v>
      </c>
      <c r="B120">
        <v>12</v>
      </c>
      <c r="C120">
        <v>5</v>
      </c>
    </row>
    <row r="121" spans="1:3" x14ac:dyDescent="0.3">
      <c r="A121">
        <v>5120</v>
      </c>
      <c r="B121">
        <v>4</v>
      </c>
      <c r="C121">
        <v>5</v>
      </c>
    </row>
    <row r="122" spans="1:3" x14ac:dyDescent="0.3">
      <c r="A122">
        <v>5121</v>
      </c>
      <c r="B122">
        <v>5</v>
      </c>
      <c r="C122">
        <v>3</v>
      </c>
    </row>
    <row r="123" spans="1:3" x14ac:dyDescent="0.3">
      <c r="A123">
        <v>5122</v>
      </c>
      <c r="B123">
        <v>7</v>
      </c>
      <c r="C123">
        <v>4</v>
      </c>
    </row>
    <row r="124" spans="1:3" x14ac:dyDescent="0.3">
      <c r="A124">
        <v>5123</v>
      </c>
      <c r="B124">
        <v>11</v>
      </c>
      <c r="C124">
        <v>5</v>
      </c>
    </row>
    <row r="125" spans="1:3" x14ac:dyDescent="0.3">
      <c r="A125">
        <v>5124</v>
      </c>
      <c r="B125">
        <v>3</v>
      </c>
      <c r="C125">
        <v>4</v>
      </c>
    </row>
    <row r="126" spans="1:3" x14ac:dyDescent="0.3">
      <c r="A126">
        <v>5125</v>
      </c>
      <c r="B126">
        <v>5</v>
      </c>
      <c r="C126">
        <v>1</v>
      </c>
    </row>
    <row r="127" spans="1:3" x14ac:dyDescent="0.3">
      <c r="A127">
        <v>5126</v>
      </c>
      <c r="B127">
        <v>20</v>
      </c>
      <c r="C127">
        <v>5</v>
      </c>
    </row>
    <row r="128" spans="1:3" x14ac:dyDescent="0.3">
      <c r="A128">
        <v>5127</v>
      </c>
      <c r="B128">
        <v>10</v>
      </c>
      <c r="C128">
        <v>3</v>
      </c>
    </row>
    <row r="129" spans="1:3" x14ac:dyDescent="0.3">
      <c r="A129">
        <v>5128</v>
      </c>
      <c r="B129">
        <v>15</v>
      </c>
      <c r="C129">
        <v>2</v>
      </c>
    </row>
    <row r="130" spans="1:3" x14ac:dyDescent="0.3">
      <c r="A130">
        <v>5129</v>
      </c>
      <c r="B130">
        <v>3</v>
      </c>
      <c r="C130">
        <v>2</v>
      </c>
    </row>
    <row r="131" spans="1:3" x14ac:dyDescent="0.3">
      <c r="A131">
        <v>5130</v>
      </c>
      <c r="B131">
        <v>3</v>
      </c>
      <c r="C131">
        <v>3</v>
      </c>
    </row>
    <row r="132" spans="1:3" x14ac:dyDescent="0.3">
      <c r="A132">
        <v>5131</v>
      </c>
      <c r="B132">
        <v>4</v>
      </c>
      <c r="C132">
        <v>4</v>
      </c>
    </row>
    <row r="133" spans="1:3" x14ac:dyDescent="0.3">
      <c r="A133">
        <v>5132</v>
      </c>
      <c r="B133">
        <v>16</v>
      </c>
      <c r="C133">
        <v>5</v>
      </c>
    </row>
    <row r="134" spans="1:3" x14ac:dyDescent="0.3">
      <c r="A134">
        <v>5133</v>
      </c>
      <c r="B134">
        <v>13</v>
      </c>
      <c r="C134">
        <v>5</v>
      </c>
    </row>
    <row r="135" spans="1:3" x14ac:dyDescent="0.3">
      <c r="A135">
        <v>5134</v>
      </c>
      <c r="B135">
        <v>14</v>
      </c>
      <c r="C135">
        <v>5</v>
      </c>
    </row>
    <row r="136" spans="1:3" x14ac:dyDescent="0.3">
      <c r="A136">
        <v>5135</v>
      </c>
      <c r="B136">
        <v>19</v>
      </c>
      <c r="C136">
        <v>1</v>
      </c>
    </row>
    <row r="137" spans="1:3" x14ac:dyDescent="0.3">
      <c r="A137">
        <v>5136</v>
      </c>
      <c r="B137">
        <v>12</v>
      </c>
      <c r="C137">
        <v>4</v>
      </c>
    </row>
    <row r="138" spans="1:3" x14ac:dyDescent="0.3">
      <c r="A138">
        <v>5137</v>
      </c>
      <c r="B138">
        <v>19</v>
      </c>
      <c r="C138">
        <v>1</v>
      </c>
    </row>
    <row r="139" spans="1:3" x14ac:dyDescent="0.3">
      <c r="A139">
        <v>5138</v>
      </c>
      <c r="B139">
        <v>17</v>
      </c>
      <c r="C139">
        <v>1</v>
      </c>
    </row>
    <row r="140" spans="1:3" x14ac:dyDescent="0.3">
      <c r="A140">
        <v>5139</v>
      </c>
      <c r="B140">
        <v>7</v>
      </c>
      <c r="C140">
        <v>2</v>
      </c>
    </row>
    <row r="141" spans="1:3" x14ac:dyDescent="0.3">
      <c r="A141">
        <v>5140</v>
      </c>
      <c r="B141">
        <v>8</v>
      </c>
      <c r="C141">
        <v>2</v>
      </c>
    </row>
    <row r="142" spans="1:3" x14ac:dyDescent="0.3">
      <c r="A142">
        <v>5141</v>
      </c>
      <c r="B142">
        <v>17</v>
      </c>
      <c r="C142">
        <v>2</v>
      </c>
    </row>
    <row r="143" spans="1:3" x14ac:dyDescent="0.3">
      <c r="A143">
        <v>5142</v>
      </c>
      <c r="B143">
        <v>4</v>
      </c>
      <c r="C143">
        <v>2</v>
      </c>
    </row>
    <row r="144" spans="1:3" x14ac:dyDescent="0.3">
      <c r="A144">
        <v>5143</v>
      </c>
      <c r="B144">
        <v>14</v>
      </c>
      <c r="C144">
        <v>1</v>
      </c>
    </row>
    <row r="145" spans="1:3" x14ac:dyDescent="0.3">
      <c r="A145">
        <v>5144</v>
      </c>
      <c r="B145">
        <v>4</v>
      </c>
      <c r="C145">
        <v>1</v>
      </c>
    </row>
    <row r="146" spans="1:3" x14ac:dyDescent="0.3">
      <c r="A146">
        <v>5145</v>
      </c>
      <c r="B146">
        <v>8</v>
      </c>
      <c r="C146">
        <v>2</v>
      </c>
    </row>
    <row r="147" spans="1:3" x14ac:dyDescent="0.3">
      <c r="A147">
        <v>5146</v>
      </c>
      <c r="B147">
        <v>15</v>
      </c>
      <c r="C147">
        <v>1</v>
      </c>
    </row>
    <row r="148" spans="1:3" x14ac:dyDescent="0.3">
      <c r="A148">
        <v>5147</v>
      </c>
      <c r="B148">
        <v>18</v>
      </c>
      <c r="C148">
        <v>3</v>
      </c>
    </row>
    <row r="149" spans="1:3" x14ac:dyDescent="0.3">
      <c r="A149">
        <v>5148</v>
      </c>
      <c r="B149">
        <v>20</v>
      </c>
      <c r="C149">
        <v>3</v>
      </c>
    </row>
    <row r="150" spans="1:3" x14ac:dyDescent="0.3">
      <c r="A150">
        <v>5149</v>
      </c>
      <c r="B150">
        <v>1</v>
      </c>
      <c r="C150">
        <v>1</v>
      </c>
    </row>
    <row r="151" spans="1:3" x14ac:dyDescent="0.3">
      <c r="A151">
        <v>5150</v>
      </c>
      <c r="B151">
        <v>12</v>
      </c>
      <c r="C151">
        <v>2</v>
      </c>
    </row>
    <row r="152" spans="1:3" x14ac:dyDescent="0.3">
      <c r="A152">
        <v>5151</v>
      </c>
      <c r="B152">
        <v>20</v>
      </c>
      <c r="C152">
        <v>3</v>
      </c>
    </row>
    <row r="153" spans="1:3" x14ac:dyDescent="0.3">
      <c r="A153">
        <v>5152</v>
      </c>
      <c r="B153">
        <v>18</v>
      </c>
      <c r="C153">
        <v>5</v>
      </c>
    </row>
    <row r="154" spans="1:3" x14ac:dyDescent="0.3">
      <c r="A154">
        <v>5153</v>
      </c>
      <c r="B154">
        <v>20</v>
      </c>
      <c r="C154">
        <v>4</v>
      </c>
    </row>
    <row r="155" spans="1:3" x14ac:dyDescent="0.3">
      <c r="A155">
        <v>5154</v>
      </c>
      <c r="B155">
        <v>14</v>
      </c>
      <c r="C155">
        <v>3</v>
      </c>
    </row>
    <row r="156" spans="1:3" x14ac:dyDescent="0.3">
      <c r="A156">
        <v>5155</v>
      </c>
      <c r="B156">
        <v>12</v>
      </c>
      <c r="C156">
        <v>3</v>
      </c>
    </row>
    <row r="157" spans="1:3" x14ac:dyDescent="0.3">
      <c r="A157">
        <v>5156</v>
      </c>
      <c r="B157">
        <v>1</v>
      </c>
      <c r="C157">
        <v>5</v>
      </c>
    </row>
    <row r="158" spans="1:3" x14ac:dyDescent="0.3">
      <c r="A158">
        <v>5157</v>
      </c>
      <c r="B158">
        <v>10</v>
      </c>
      <c r="C158">
        <v>1</v>
      </c>
    </row>
    <row r="159" spans="1:3" x14ac:dyDescent="0.3">
      <c r="A159">
        <v>5158</v>
      </c>
      <c r="B159">
        <v>1</v>
      </c>
      <c r="C159">
        <v>3</v>
      </c>
    </row>
    <row r="160" spans="1:3" x14ac:dyDescent="0.3">
      <c r="A160">
        <v>5159</v>
      </c>
      <c r="B160">
        <v>8</v>
      </c>
      <c r="C160">
        <v>3</v>
      </c>
    </row>
    <row r="161" spans="1:3" x14ac:dyDescent="0.3">
      <c r="A161">
        <v>5160</v>
      </c>
      <c r="B161">
        <v>1</v>
      </c>
      <c r="C161">
        <v>3</v>
      </c>
    </row>
    <row r="162" spans="1:3" x14ac:dyDescent="0.3">
      <c r="A162">
        <v>5161</v>
      </c>
      <c r="B162">
        <v>18</v>
      </c>
      <c r="C162">
        <v>2</v>
      </c>
    </row>
    <row r="163" spans="1:3" x14ac:dyDescent="0.3">
      <c r="A163">
        <v>5162</v>
      </c>
      <c r="B163">
        <v>8</v>
      </c>
      <c r="C163">
        <v>3</v>
      </c>
    </row>
    <row r="164" spans="1:3" x14ac:dyDescent="0.3">
      <c r="A164">
        <v>5163</v>
      </c>
      <c r="B164">
        <v>19</v>
      </c>
      <c r="C164">
        <v>1</v>
      </c>
    </row>
    <row r="165" spans="1:3" x14ac:dyDescent="0.3">
      <c r="A165">
        <v>5164</v>
      </c>
      <c r="B165">
        <v>10</v>
      </c>
      <c r="C165">
        <v>2</v>
      </c>
    </row>
    <row r="166" spans="1:3" x14ac:dyDescent="0.3">
      <c r="A166">
        <v>5165</v>
      </c>
      <c r="B166">
        <v>10</v>
      </c>
      <c r="C166">
        <v>1</v>
      </c>
    </row>
    <row r="167" spans="1:3" x14ac:dyDescent="0.3">
      <c r="A167">
        <v>5166</v>
      </c>
      <c r="B167">
        <v>9</v>
      </c>
      <c r="C167">
        <v>3</v>
      </c>
    </row>
    <row r="168" spans="1:3" x14ac:dyDescent="0.3">
      <c r="A168">
        <v>5167</v>
      </c>
      <c r="B168">
        <v>18</v>
      </c>
      <c r="C168">
        <v>5</v>
      </c>
    </row>
    <row r="169" spans="1:3" x14ac:dyDescent="0.3">
      <c r="A169">
        <v>5168</v>
      </c>
      <c r="B169">
        <v>9</v>
      </c>
      <c r="C169">
        <v>1</v>
      </c>
    </row>
    <row r="170" spans="1:3" x14ac:dyDescent="0.3">
      <c r="A170">
        <v>5169</v>
      </c>
      <c r="B170">
        <v>17</v>
      </c>
      <c r="C170">
        <v>2</v>
      </c>
    </row>
    <row r="171" spans="1:3" x14ac:dyDescent="0.3">
      <c r="A171">
        <v>5170</v>
      </c>
      <c r="B171">
        <v>19</v>
      </c>
      <c r="C171">
        <v>4</v>
      </c>
    </row>
    <row r="172" spans="1:3" x14ac:dyDescent="0.3">
      <c r="A172">
        <v>5171</v>
      </c>
      <c r="B172">
        <v>18</v>
      </c>
      <c r="C172">
        <v>5</v>
      </c>
    </row>
    <row r="173" spans="1:3" x14ac:dyDescent="0.3">
      <c r="A173">
        <v>5172</v>
      </c>
      <c r="B173">
        <v>16</v>
      </c>
      <c r="C173">
        <v>4</v>
      </c>
    </row>
    <row r="174" spans="1:3" x14ac:dyDescent="0.3">
      <c r="A174">
        <v>5173</v>
      </c>
      <c r="B174">
        <v>10</v>
      </c>
      <c r="C174">
        <v>5</v>
      </c>
    </row>
    <row r="175" spans="1:3" x14ac:dyDescent="0.3">
      <c r="A175">
        <v>5174</v>
      </c>
      <c r="B175">
        <v>19</v>
      </c>
      <c r="C175">
        <v>1</v>
      </c>
    </row>
    <row r="176" spans="1:3" x14ac:dyDescent="0.3">
      <c r="A176">
        <v>5175</v>
      </c>
      <c r="B176">
        <v>1</v>
      </c>
      <c r="C176">
        <v>3</v>
      </c>
    </row>
    <row r="177" spans="1:3" x14ac:dyDescent="0.3">
      <c r="A177">
        <v>5176</v>
      </c>
      <c r="B177">
        <v>8</v>
      </c>
      <c r="C177">
        <v>1</v>
      </c>
    </row>
    <row r="178" spans="1:3" x14ac:dyDescent="0.3">
      <c r="A178">
        <v>5177</v>
      </c>
      <c r="B178">
        <v>13</v>
      </c>
      <c r="C178">
        <v>2</v>
      </c>
    </row>
    <row r="179" spans="1:3" x14ac:dyDescent="0.3">
      <c r="A179">
        <v>5178</v>
      </c>
      <c r="B179">
        <v>15</v>
      </c>
      <c r="C179">
        <v>4</v>
      </c>
    </row>
    <row r="180" spans="1:3" x14ac:dyDescent="0.3">
      <c r="A180">
        <v>5179</v>
      </c>
      <c r="B180">
        <v>9</v>
      </c>
      <c r="C180">
        <v>2</v>
      </c>
    </row>
    <row r="181" spans="1:3" x14ac:dyDescent="0.3">
      <c r="A181">
        <v>5180</v>
      </c>
      <c r="B181">
        <v>20</v>
      </c>
      <c r="C181">
        <v>4</v>
      </c>
    </row>
    <row r="182" spans="1:3" x14ac:dyDescent="0.3">
      <c r="A182">
        <v>5181</v>
      </c>
      <c r="B182">
        <v>18</v>
      </c>
      <c r="C182">
        <v>4</v>
      </c>
    </row>
    <row r="183" spans="1:3" x14ac:dyDescent="0.3">
      <c r="A183">
        <v>5182</v>
      </c>
      <c r="B183">
        <v>19</v>
      </c>
      <c r="C183">
        <v>5</v>
      </c>
    </row>
    <row r="184" spans="1:3" x14ac:dyDescent="0.3">
      <c r="A184">
        <v>5183</v>
      </c>
      <c r="B184">
        <v>14</v>
      </c>
      <c r="C184">
        <v>2</v>
      </c>
    </row>
    <row r="185" spans="1:3" x14ac:dyDescent="0.3">
      <c r="A185">
        <v>5184</v>
      </c>
      <c r="B185">
        <v>13</v>
      </c>
      <c r="C185">
        <v>1</v>
      </c>
    </row>
    <row r="186" spans="1:3" x14ac:dyDescent="0.3">
      <c r="A186">
        <v>5185</v>
      </c>
      <c r="B186">
        <v>6</v>
      </c>
      <c r="C186">
        <v>4</v>
      </c>
    </row>
    <row r="187" spans="1:3" x14ac:dyDescent="0.3">
      <c r="A187">
        <v>5186</v>
      </c>
      <c r="B187">
        <v>14</v>
      </c>
      <c r="C187">
        <v>4</v>
      </c>
    </row>
    <row r="188" spans="1:3" x14ac:dyDescent="0.3">
      <c r="A188">
        <v>5187</v>
      </c>
      <c r="B188">
        <v>19</v>
      </c>
      <c r="C188">
        <v>4</v>
      </c>
    </row>
    <row r="189" spans="1:3" x14ac:dyDescent="0.3">
      <c r="A189">
        <v>5188</v>
      </c>
      <c r="B189">
        <v>7</v>
      </c>
      <c r="C189">
        <v>5</v>
      </c>
    </row>
    <row r="190" spans="1:3" x14ac:dyDescent="0.3">
      <c r="A190">
        <v>5189</v>
      </c>
      <c r="B190">
        <v>3</v>
      </c>
      <c r="C190">
        <v>5</v>
      </c>
    </row>
    <row r="191" spans="1:3" x14ac:dyDescent="0.3">
      <c r="A191">
        <v>5190</v>
      </c>
      <c r="B191">
        <v>11</v>
      </c>
      <c r="C191">
        <v>1</v>
      </c>
    </row>
    <row r="192" spans="1:3" x14ac:dyDescent="0.3">
      <c r="A192">
        <v>5191</v>
      </c>
      <c r="B192">
        <v>14</v>
      </c>
      <c r="C192">
        <v>5</v>
      </c>
    </row>
    <row r="193" spans="1:3" x14ac:dyDescent="0.3">
      <c r="A193">
        <v>5192</v>
      </c>
      <c r="B193">
        <v>17</v>
      </c>
      <c r="C193">
        <v>2</v>
      </c>
    </row>
    <row r="194" spans="1:3" x14ac:dyDescent="0.3">
      <c r="A194">
        <v>5193</v>
      </c>
      <c r="B194">
        <v>19</v>
      </c>
      <c r="C194">
        <v>1</v>
      </c>
    </row>
    <row r="195" spans="1:3" x14ac:dyDescent="0.3">
      <c r="A195">
        <v>5194</v>
      </c>
      <c r="B195">
        <v>15</v>
      </c>
      <c r="C195">
        <v>1</v>
      </c>
    </row>
    <row r="196" spans="1:3" x14ac:dyDescent="0.3">
      <c r="A196">
        <v>5195</v>
      </c>
      <c r="B196">
        <v>13</v>
      </c>
      <c r="C196">
        <v>2</v>
      </c>
    </row>
    <row r="197" spans="1:3" x14ac:dyDescent="0.3">
      <c r="A197">
        <v>5196</v>
      </c>
      <c r="B197">
        <v>5</v>
      </c>
      <c r="C197">
        <v>4</v>
      </c>
    </row>
    <row r="198" spans="1:3" x14ac:dyDescent="0.3">
      <c r="A198">
        <v>5197</v>
      </c>
      <c r="B198">
        <v>1</v>
      </c>
      <c r="C198">
        <v>2</v>
      </c>
    </row>
    <row r="199" spans="1:3" x14ac:dyDescent="0.3">
      <c r="A199">
        <v>5198</v>
      </c>
      <c r="B199">
        <v>15</v>
      </c>
      <c r="C199">
        <v>3</v>
      </c>
    </row>
    <row r="200" spans="1:3" x14ac:dyDescent="0.3">
      <c r="A200">
        <v>5199</v>
      </c>
      <c r="B200">
        <v>18</v>
      </c>
      <c r="C200">
        <v>1</v>
      </c>
    </row>
    <row r="201" spans="1:3" x14ac:dyDescent="0.3">
      <c r="A201">
        <v>5200</v>
      </c>
      <c r="B201">
        <v>12</v>
      </c>
      <c r="C20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B26" sqref="B26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4</v>
      </c>
    </row>
    <row r="2" spans="1:3" x14ac:dyDescent="0.3">
      <c r="A2">
        <v>1</v>
      </c>
      <c r="B2" t="s">
        <v>5</v>
      </c>
      <c r="C2">
        <v>34130</v>
      </c>
    </row>
    <row r="3" spans="1:3" x14ac:dyDescent="0.3">
      <c r="A3">
        <v>2</v>
      </c>
      <c r="B3" t="s">
        <v>6</v>
      </c>
      <c r="C3">
        <v>40685</v>
      </c>
    </row>
    <row r="4" spans="1:3" x14ac:dyDescent="0.3">
      <c r="A4">
        <v>3</v>
      </c>
      <c r="B4" t="s">
        <v>7</v>
      </c>
      <c r="C4">
        <v>26587</v>
      </c>
    </row>
    <row r="5" spans="1:3" x14ac:dyDescent="0.3">
      <c r="A5">
        <v>4</v>
      </c>
      <c r="B5" t="s">
        <v>8</v>
      </c>
      <c r="C5">
        <v>30181</v>
      </c>
    </row>
    <row r="6" spans="1:3" x14ac:dyDescent="0.3">
      <c r="A6">
        <v>5</v>
      </c>
      <c r="B6" t="s">
        <v>9</v>
      </c>
      <c r="C6">
        <v>13509</v>
      </c>
    </row>
    <row r="7" spans="1:3" x14ac:dyDescent="0.3">
      <c r="A7">
        <v>6</v>
      </c>
      <c r="B7" t="s">
        <v>10</v>
      </c>
      <c r="C7">
        <v>10250</v>
      </c>
    </row>
    <row r="8" spans="1:3" x14ac:dyDescent="0.3">
      <c r="A8">
        <v>7</v>
      </c>
      <c r="B8" t="s">
        <v>11</v>
      </c>
      <c r="C8">
        <v>34857</v>
      </c>
    </row>
    <row r="9" spans="1:3" x14ac:dyDescent="0.3">
      <c r="A9">
        <v>8</v>
      </c>
      <c r="B9" t="s">
        <v>12</v>
      </c>
      <c r="C9">
        <v>31589</v>
      </c>
    </row>
    <row r="10" spans="1:3" x14ac:dyDescent="0.3">
      <c r="A10">
        <v>9</v>
      </c>
      <c r="B10" t="s">
        <v>13</v>
      </c>
      <c r="C10">
        <v>15870</v>
      </c>
    </row>
    <row r="11" spans="1:3" x14ac:dyDescent="0.3">
      <c r="A11">
        <v>10</v>
      </c>
      <c r="B11" t="s">
        <v>14</v>
      </c>
      <c r="C11">
        <v>18164</v>
      </c>
    </row>
    <row r="12" spans="1:3" x14ac:dyDescent="0.3">
      <c r="A12">
        <v>11</v>
      </c>
      <c r="B12" t="s">
        <v>15</v>
      </c>
      <c r="C12">
        <v>45046</v>
      </c>
    </row>
    <row r="13" spans="1:3" x14ac:dyDescent="0.3">
      <c r="A13">
        <v>12</v>
      </c>
      <c r="B13" t="s">
        <v>16</v>
      </c>
      <c r="C13">
        <v>32456</v>
      </c>
    </row>
    <row r="14" spans="1:3" x14ac:dyDescent="0.3">
      <c r="A14">
        <v>13</v>
      </c>
      <c r="B14" t="s">
        <v>17</v>
      </c>
      <c r="C14">
        <v>3900</v>
      </c>
    </row>
    <row r="15" spans="1:3" x14ac:dyDescent="0.3">
      <c r="A15">
        <v>14</v>
      </c>
      <c r="B15" t="s">
        <v>18</v>
      </c>
      <c r="C15">
        <v>23213</v>
      </c>
    </row>
    <row r="16" spans="1:3" x14ac:dyDescent="0.3">
      <c r="A16">
        <v>15</v>
      </c>
      <c r="B16" t="s">
        <v>19</v>
      </c>
      <c r="C16">
        <v>12567</v>
      </c>
    </row>
    <row r="17" spans="1:3" x14ac:dyDescent="0.3">
      <c r="A17">
        <v>16</v>
      </c>
      <c r="B17" t="s">
        <v>20</v>
      </c>
      <c r="C17">
        <v>21553</v>
      </c>
    </row>
    <row r="18" spans="1:3" x14ac:dyDescent="0.3">
      <c r="A18">
        <v>17</v>
      </c>
      <c r="B18" t="s">
        <v>21</v>
      </c>
      <c r="C18">
        <v>25434</v>
      </c>
    </row>
    <row r="19" spans="1:3" x14ac:dyDescent="0.3">
      <c r="A19">
        <v>18</v>
      </c>
      <c r="B19" t="s">
        <v>22</v>
      </c>
      <c r="C19">
        <v>28829</v>
      </c>
    </row>
    <row r="20" spans="1:3" x14ac:dyDescent="0.3">
      <c r="A20">
        <v>19</v>
      </c>
      <c r="B20" t="s">
        <v>23</v>
      </c>
      <c r="C20">
        <v>37165</v>
      </c>
    </row>
    <row r="21" spans="1:3" x14ac:dyDescent="0.3">
      <c r="A21">
        <v>20</v>
      </c>
      <c r="B21" t="s">
        <v>24</v>
      </c>
      <c r="C21">
        <v>10724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BCEA-E1F5-40F1-BFA1-0DED520B6333}">
  <dimension ref="A1:G201"/>
  <sheetViews>
    <sheetView tabSelected="1" workbookViewId="0">
      <selection activeCell="O17" sqref="O17"/>
    </sheetView>
  </sheetViews>
  <sheetFormatPr defaultRowHeight="14.4" x14ac:dyDescent="0.3"/>
  <cols>
    <col min="1" max="1" width="8.44140625" bestFit="1" customWidth="1"/>
    <col min="2" max="2" width="10.109375" bestFit="1" customWidth="1"/>
    <col min="3" max="3" width="8" bestFit="1" customWidth="1"/>
    <col min="4" max="4" width="13.5546875" style="1" bestFit="1" customWidth="1"/>
    <col min="5" max="5" width="8.88671875" style="1"/>
    <col min="6" max="6" width="10.33203125" bestFit="1" customWidth="1"/>
    <col min="7" max="7" width="14.5546875" style="1" bestFit="1" customWidth="1"/>
  </cols>
  <sheetData>
    <row r="1" spans="1:7" x14ac:dyDescent="0.3">
      <c r="A1" s="2" t="s">
        <v>0</v>
      </c>
      <c r="B1" s="2" t="s">
        <v>1</v>
      </c>
      <c r="C1" s="3" t="s">
        <v>2</v>
      </c>
      <c r="D1" s="5" t="s">
        <v>25</v>
      </c>
      <c r="E1" s="5" t="s">
        <v>4</v>
      </c>
      <c r="F1" s="6" t="s">
        <v>26</v>
      </c>
      <c r="G1" s="5" t="s">
        <v>27</v>
      </c>
    </row>
    <row r="2" spans="1:7" x14ac:dyDescent="0.3">
      <c r="A2" s="1">
        <v>5001</v>
      </c>
      <c r="B2" s="1">
        <v>3</v>
      </c>
      <c r="C2" s="4">
        <v>2</v>
      </c>
      <c r="D2" s="1" t="str">
        <f>_xlfn.XLOOKUP(B2,Products!$A$2:$A$21,Products!$B$2:$B$21,,0)</f>
        <v>Keyboard</v>
      </c>
      <c r="E2" s="1">
        <f>_xlfn.XLOOKUP(D2,Products!$B$2:$B$21,Products!$C$2:$C$21,,0)</f>
        <v>26587</v>
      </c>
      <c r="F2" s="4">
        <f>C2*E2</f>
        <v>53174</v>
      </c>
      <c r="G2" s="1">
        <f>_xlfn.XLOOKUP(D2,Products!$B$2:$B$21,Products!$A$2:$A$21,,0)</f>
        <v>3</v>
      </c>
    </row>
    <row r="3" spans="1:7" x14ac:dyDescent="0.3">
      <c r="A3" s="1">
        <v>5002</v>
      </c>
      <c r="B3" s="1">
        <v>11</v>
      </c>
      <c r="C3" s="4">
        <v>1</v>
      </c>
      <c r="D3" s="1" t="str">
        <f>_xlfn.XLOOKUP(B3,Products!$A$2:$A$21,Products!$B$2:$B$21,,0)</f>
        <v>Fan</v>
      </c>
      <c r="E3" s="1">
        <f>_xlfn.XLOOKUP(D3,Products!$B$2:$B$21,Products!$C$2:$C$21,,0)</f>
        <v>45046</v>
      </c>
      <c r="F3" s="4">
        <f t="shared" ref="F3:F66" si="0">C3*E3</f>
        <v>45046</v>
      </c>
      <c r="G3" s="1">
        <f>_xlfn.XLOOKUP(D3,Products!$B$2:$B$21,Products!$A$2:$A$21,,0)</f>
        <v>11</v>
      </c>
    </row>
    <row r="4" spans="1:7" x14ac:dyDescent="0.3">
      <c r="A4" s="1">
        <v>5003</v>
      </c>
      <c r="B4" s="1">
        <v>2</v>
      </c>
      <c r="C4" s="4">
        <v>5</v>
      </c>
      <c r="D4" s="1" t="str">
        <f>_xlfn.XLOOKUP(B4,Products!$A$2:$A$21,Products!$B$2:$B$21,,0)</f>
        <v>Mouse</v>
      </c>
      <c r="E4" s="1">
        <f>_xlfn.XLOOKUP(D4,Products!$B$2:$B$21,Products!$C$2:$C$21,,0)</f>
        <v>40685</v>
      </c>
      <c r="F4" s="4">
        <f t="shared" si="0"/>
        <v>203425</v>
      </c>
      <c r="G4" s="1">
        <f>_xlfn.XLOOKUP(D4,Products!$B$2:$B$21,Products!$A$2:$A$21,,0)</f>
        <v>2</v>
      </c>
    </row>
    <row r="5" spans="1:7" x14ac:dyDescent="0.3">
      <c r="A5" s="1">
        <v>5004</v>
      </c>
      <c r="B5" s="1">
        <v>4</v>
      </c>
      <c r="C5" s="4">
        <v>5</v>
      </c>
      <c r="D5" s="1" t="str">
        <f>_xlfn.XLOOKUP(B5,Products!$A$2:$A$21,Products!$B$2:$B$21,,0)</f>
        <v>Monitor</v>
      </c>
      <c r="E5" s="1">
        <f>_xlfn.XLOOKUP(D5,Products!$B$2:$B$21,Products!$C$2:$C$21,,0)</f>
        <v>30181</v>
      </c>
      <c r="F5" s="4">
        <f t="shared" si="0"/>
        <v>150905</v>
      </c>
      <c r="G5" s="1">
        <f>_xlfn.XLOOKUP(D5,Products!$B$2:$B$21,Products!$A$2:$A$21,,0)</f>
        <v>4</v>
      </c>
    </row>
    <row r="6" spans="1:7" x14ac:dyDescent="0.3">
      <c r="A6" s="1">
        <v>5005</v>
      </c>
      <c r="B6" s="1">
        <v>14</v>
      </c>
      <c r="C6" s="4">
        <v>5</v>
      </c>
      <c r="D6" s="1" t="str">
        <f>_xlfn.XLOOKUP(B6,Products!$A$2:$A$21,Products!$B$2:$B$21,,0)</f>
        <v>Book</v>
      </c>
      <c r="E6" s="1">
        <f>_xlfn.XLOOKUP(D6,Products!$B$2:$B$21,Products!$C$2:$C$21,,0)</f>
        <v>23213</v>
      </c>
      <c r="F6" s="4">
        <f t="shared" si="0"/>
        <v>116065</v>
      </c>
      <c r="G6" s="1">
        <f>_xlfn.XLOOKUP(D6,Products!$B$2:$B$21,Products!$A$2:$A$21,,0)</f>
        <v>14</v>
      </c>
    </row>
    <row r="7" spans="1:7" x14ac:dyDescent="0.3">
      <c r="A7" s="1">
        <v>5006</v>
      </c>
      <c r="B7" s="1">
        <v>5</v>
      </c>
      <c r="C7" s="4">
        <v>5</v>
      </c>
      <c r="D7" s="1" t="str">
        <f>_xlfn.XLOOKUP(B7,Products!$A$2:$A$21,Products!$B$2:$B$21,,0)</f>
        <v>Tablet</v>
      </c>
      <c r="E7" s="1">
        <f>_xlfn.XLOOKUP(D7,Products!$B$2:$B$21,Products!$C$2:$C$21,,0)</f>
        <v>13509</v>
      </c>
      <c r="F7" s="4">
        <f t="shared" si="0"/>
        <v>67545</v>
      </c>
      <c r="G7" s="1">
        <f>_xlfn.XLOOKUP(D7,Products!$B$2:$B$21,Products!$A$2:$A$21,,0)</f>
        <v>5</v>
      </c>
    </row>
    <row r="8" spans="1:7" x14ac:dyDescent="0.3">
      <c r="A8" s="1">
        <v>5007</v>
      </c>
      <c r="B8" s="1">
        <v>3</v>
      </c>
      <c r="C8" s="4">
        <v>3</v>
      </c>
      <c r="D8" s="1" t="str">
        <f>_xlfn.XLOOKUP(B8,Products!$A$2:$A$21,Products!$B$2:$B$21,,0)</f>
        <v>Keyboard</v>
      </c>
      <c r="E8" s="1">
        <f>_xlfn.XLOOKUP(D8,Products!$B$2:$B$21,Products!$C$2:$C$21,,0)</f>
        <v>26587</v>
      </c>
      <c r="F8" s="4">
        <f t="shared" si="0"/>
        <v>79761</v>
      </c>
      <c r="G8" s="1">
        <f>_xlfn.XLOOKUP(D8,Products!$B$2:$B$21,Products!$A$2:$A$21,,0)</f>
        <v>3</v>
      </c>
    </row>
    <row r="9" spans="1:7" x14ac:dyDescent="0.3">
      <c r="A9" s="1">
        <v>5008</v>
      </c>
      <c r="B9" s="1">
        <v>8</v>
      </c>
      <c r="C9" s="4">
        <v>1</v>
      </c>
      <c r="D9" s="1" t="str">
        <f>_xlfn.XLOOKUP(B9,Products!$A$2:$A$21,Products!$B$2:$B$21,,0)</f>
        <v>Printer</v>
      </c>
      <c r="E9" s="1">
        <f>_xlfn.XLOOKUP(D9,Products!$B$2:$B$21,Products!$C$2:$C$21,,0)</f>
        <v>31589</v>
      </c>
      <c r="F9" s="4">
        <f t="shared" si="0"/>
        <v>31589</v>
      </c>
      <c r="G9" s="1">
        <f>_xlfn.XLOOKUP(D9,Products!$B$2:$B$21,Products!$A$2:$A$21,,0)</f>
        <v>8</v>
      </c>
    </row>
    <row r="10" spans="1:7" x14ac:dyDescent="0.3">
      <c r="A10" s="1">
        <v>5009</v>
      </c>
      <c r="B10" s="1">
        <v>6</v>
      </c>
      <c r="C10" s="4">
        <v>5</v>
      </c>
      <c r="D10" s="1" t="str">
        <f>_xlfn.XLOOKUP(B10,Products!$A$2:$A$21,Products!$B$2:$B$21,,0)</f>
        <v>Phone</v>
      </c>
      <c r="E10" s="1">
        <f>_xlfn.XLOOKUP(D10,Products!$B$2:$B$21,Products!$C$2:$C$21,,0)</f>
        <v>10250</v>
      </c>
      <c r="F10" s="4">
        <f t="shared" si="0"/>
        <v>51250</v>
      </c>
      <c r="G10" s="1">
        <f>_xlfn.XLOOKUP(D10,Products!$B$2:$B$21,Products!$A$2:$A$21,,0)</f>
        <v>6</v>
      </c>
    </row>
    <row r="11" spans="1:7" x14ac:dyDescent="0.3">
      <c r="A11" s="1">
        <v>5010</v>
      </c>
      <c r="B11" s="1">
        <v>16</v>
      </c>
      <c r="C11" s="4">
        <v>4</v>
      </c>
      <c r="D11" s="1" t="str">
        <f>_xlfn.XLOOKUP(B11,Products!$A$2:$A$21,Products!$B$2:$B$21,,0)</f>
        <v>Watch</v>
      </c>
      <c r="E11" s="1">
        <f>_xlfn.XLOOKUP(D11,Products!$B$2:$B$21,Products!$C$2:$C$21,,0)</f>
        <v>21553</v>
      </c>
      <c r="F11" s="4">
        <f t="shared" si="0"/>
        <v>86212</v>
      </c>
      <c r="G11" s="1">
        <f>_xlfn.XLOOKUP(D11,Products!$B$2:$B$21,Products!$A$2:$A$21,,0)</f>
        <v>16</v>
      </c>
    </row>
    <row r="12" spans="1:7" x14ac:dyDescent="0.3">
      <c r="A12" s="1">
        <v>5011</v>
      </c>
      <c r="B12" s="1">
        <v>15</v>
      </c>
      <c r="C12" s="4">
        <v>1</v>
      </c>
      <c r="D12" s="1" t="str">
        <f>_xlfn.XLOOKUP(B12,Products!$A$2:$A$21,Products!$B$2:$B$21,,0)</f>
        <v>Bag</v>
      </c>
      <c r="E12" s="1">
        <f>_xlfn.XLOOKUP(D12,Products!$B$2:$B$21,Products!$C$2:$C$21,,0)</f>
        <v>12567</v>
      </c>
      <c r="F12" s="4">
        <f t="shared" si="0"/>
        <v>12567</v>
      </c>
      <c r="G12" s="1">
        <f>_xlfn.XLOOKUP(D12,Products!$B$2:$B$21,Products!$A$2:$A$21,,0)</f>
        <v>15</v>
      </c>
    </row>
    <row r="13" spans="1:7" x14ac:dyDescent="0.3">
      <c r="A13" s="1">
        <v>5012</v>
      </c>
      <c r="B13" s="1">
        <v>12</v>
      </c>
      <c r="C13" s="4">
        <v>4</v>
      </c>
      <c r="D13" s="1" t="str">
        <f>_xlfn.XLOOKUP(B13,Products!$A$2:$A$21,Products!$B$2:$B$21,,0)</f>
        <v>AC</v>
      </c>
      <c r="E13" s="1">
        <f>_xlfn.XLOOKUP(D13,Products!$B$2:$B$21,Products!$C$2:$C$21,,0)</f>
        <v>32456</v>
      </c>
      <c r="F13" s="4">
        <f t="shared" si="0"/>
        <v>129824</v>
      </c>
      <c r="G13" s="1">
        <f>_xlfn.XLOOKUP(D13,Products!$B$2:$B$21,Products!$A$2:$A$21,,0)</f>
        <v>12</v>
      </c>
    </row>
    <row r="14" spans="1:7" x14ac:dyDescent="0.3">
      <c r="A14" s="1">
        <v>5013</v>
      </c>
      <c r="B14" s="1">
        <v>19</v>
      </c>
      <c r="C14" s="4">
        <v>5</v>
      </c>
      <c r="D14" s="1" t="str">
        <f>_xlfn.XLOOKUP(B14,Products!$A$2:$A$21,Products!$B$2:$B$21,,0)</f>
        <v>Router</v>
      </c>
      <c r="E14" s="1">
        <f>_xlfn.XLOOKUP(D14,Products!$B$2:$B$21,Products!$C$2:$C$21,,0)</f>
        <v>37165</v>
      </c>
      <c r="F14" s="4">
        <f t="shared" si="0"/>
        <v>185825</v>
      </c>
      <c r="G14" s="1">
        <f>_xlfn.XLOOKUP(D14,Products!$B$2:$B$21,Products!$A$2:$A$21,,0)</f>
        <v>19</v>
      </c>
    </row>
    <row r="15" spans="1:7" x14ac:dyDescent="0.3">
      <c r="A15" s="1">
        <v>5014</v>
      </c>
      <c r="B15" s="1">
        <v>4</v>
      </c>
      <c r="C15" s="4">
        <v>5</v>
      </c>
      <c r="D15" s="1" t="str">
        <f>_xlfn.XLOOKUP(B15,Products!$A$2:$A$21,Products!$B$2:$B$21,,0)</f>
        <v>Monitor</v>
      </c>
      <c r="E15" s="1">
        <f>_xlfn.XLOOKUP(D15,Products!$B$2:$B$21,Products!$C$2:$C$21,,0)</f>
        <v>30181</v>
      </c>
      <c r="F15" s="4">
        <f t="shared" si="0"/>
        <v>150905</v>
      </c>
      <c r="G15" s="1">
        <f>_xlfn.XLOOKUP(D15,Products!$B$2:$B$21,Products!$A$2:$A$21,,0)</f>
        <v>4</v>
      </c>
    </row>
    <row r="16" spans="1:7" x14ac:dyDescent="0.3">
      <c r="A16" s="1">
        <v>5015</v>
      </c>
      <c r="B16" s="1">
        <v>15</v>
      </c>
      <c r="C16" s="4">
        <v>2</v>
      </c>
      <c r="D16" s="1" t="str">
        <f>_xlfn.XLOOKUP(B16,Products!$A$2:$A$21,Products!$B$2:$B$21,,0)</f>
        <v>Bag</v>
      </c>
      <c r="E16" s="1">
        <f>_xlfn.XLOOKUP(D16,Products!$B$2:$B$21,Products!$C$2:$C$21,,0)</f>
        <v>12567</v>
      </c>
      <c r="F16" s="4">
        <f t="shared" si="0"/>
        <v>25134</v>
      </c>
      <c r="G16" s="1">
        <f>_xlfn.XLOOKUP(D16,Products!$B$2:$B$21,Products!$A$2:$A$21,,0)</f>
        <v>15</v>
      </c>
    </row>
    <row r="17" spans="1:7" x14ac:dyDescent="0.3">
      <c r="A17" s="1">
        <v>5016</v>
      </c>
      <c r="B17" s="1">
        <v>6</v>
      </c>
      <c r="C17" s="4">
        <v>5</v>
      </c>
      <c r="D17" s="1" t="str">
        <f>_xlfn.XLOOKUP(B17,Products!$A$2:$A$21,Products!$B$2:$B$21,,0)</f>
        <v>Phone</v>
      </c>
      <c r="E17" s="1">
        <f>_xlfn.XLOOKUP(D17,Products!$B$2:$B$21,Products!$C$2:$C$21,,0)</f>
        <v>10250</v>
      </c>
      <c r="F17" s="4">
        <f t="shared" si="0"/>
        <v>51250</v>
      </c>
      <c r="G17" s="1">
        <f>_xlfn.XLOOKUP(D17,Products!$B$2:$B$21,Products!$A$2:$A$21,,0)</f>
        <v>6</v>
      </c>
    </row>
    <row r="18" spans="1:7" x14ac:dyDescent="0.3">
      <c r="A18" s="1">
        <v>5017</v>
      </c>
      <c r="B18" s="1">
        <v>4</v>
      </c>
      <c r="C18" s="4">
        <v>4</v>
      </c>
      <c r="D18" s="1" t="str">
        <f>_xlfn.XLOOKUP(B18,Products!$A$2:$A$21,Products!$B$2:$B$21,,0)</f>
        <v>Monitor</v>
      </c>
      <c r="E18" s="1">
        <f>_xlfn.XLOOKUP(D18,Products!$B$2:$B$21,Products!$C$2:$C$21,,0)</f>
        <v>30181</v>
      </c>
      <c r="F18" s="4">
        <f t="shared" si="0"/>
        <v>120724</v>
      </c>
      <c r="G18" s="1">
        <f>_xlfn.XLOOKUP(D18,Products!$B$2:$B$21,Products!$A$2:$A$21,,0)</f>
        <v>4</v>
      </c>
    </row>
    <row r="19" spans="1:7" x14ac:dyDescent="0.3">
      <c r="A19" s="1">
        <v>5018</v>
      </c>
      <c r="B19" s="1">
        <v>5</v>
      </c>
      <c r="C19" s="4">
        <v>4</v>
      </c>
      <c r="D19" s="1" t="str">
        <f>_xlfn.XLOOKUP(B19,Products!$A$2:$A$21,Products!$B$2:$B$21,,0)</f>
        <v>Tablet</v>
      </c>
      <c r="E19" s="1">
        <f>_xlfn.XLOOKUP(D19,Products!$B$2:$B$21,Products!$C$2:$C$21,,0)</f>
        <v>13509</v>
      </c>
      <c r="F19" s="4">
        <f t="shared" si="0"/>
        <v>54036</v>
      </c>
      <c r="G19" s="1">
        <f>_xlfn.XLOOKUP(D19,Products!$B$2:$B$21,Products!$A$2:$A$21,,0)</f>
        <v>5</v>
      </c>
    </row>
    <row r="20" spans="1:7" x14ac:dyDescent="0.3">
      <c r="A20" s="1">
        <v>5019</v>
      </c>
      <c r="B20" s="1">
        <v>17</v>
      </c>
      <c r="C20" s="4">
        <v>3</v>
      </c>
      <c r="D20" s="1" t="str">
        <f>_xlfn.XLOOKUP(B20,Products!$A$2:$A$21,Products!$B$2:$B$21,,0)</f>
        <v>TV</v>
      </c>
      <c r="E20" s="1">
        <f>_xlfn.XLOOKUP(D20,Products!$B$2:$B$21,Products!$C$2:$C$21,,0)</f>
        <v>25434</v>
      </c>
      <c r="F20" s="4">
        <f t="shared" si="0"/>
        <v>76302</v>
      </c>
      <c r="G20" s="1">
        <f>_xlfn.XLOOKUP(D20,Products!$B$2:$B$21,Products!$A$2:$A$21,,0)</f>
        <v>17</v>
      </c>
    </row>
    <row r="21" spans="1:7" x14ac:dyDescent="0.3">
      <c r="A21" s="1">
        <v>5020</v>
      </c>
      <c r="B21" s="1">
        <v>10</v>
      </c>
      <c r="C21" s="4">
        <v>1</v>
      </c>
      <c r="D21" s="1" t="str">
        <f>_xlfn.XLOOKUP(B21,Products!$A$2:$A$21,Products!$B$2:$B$21,,0)</f>
        <v>Chair</v>
      </c>
      <c r="E21" s="1">
        <f>_xlfn.XLOOKUP(D21,Products!$B$2:$B$21,Products!$C$2:$C$21,,0)</f>
        <v>18164</v>
      </c>
      <c r="F21" s="4">
        <f t="shared" si="0"/>
        <v>18164</v>
      </c>
      <c r="G21" s="1">
        <f>_xlfn.XLOOKUP(D21,Products!$B$2:$B$21,Products!$A$2:$A$21,,0)</f>
        <v>10</v>
      </c>
    </row>
    <row r="22" spans="1:7" x14ac:dyDescent="0.3">
      <c r="A22" s="1">
        <v>5021</v>
      </c>
      <c r="B22" s="1">
        <v>7</v>
      </c>
      <c r="C22" s="4">
        <v>2</v>
      </c>
      <c r="D22" s="1" t="str">
        <f>_xlfn.XLOOKUP(B22,Products!$A$2:$A$21,Products!$B$2:$B$21,,0)</f>
        <v>Camera</v>
      </c>
      <c r="E22" s="1">
        <f>_xlfn.XLOOKUP(D22,Products!$B$2:$B$21,Products!$C$2:$C$21,,0)</f>
        <v>34857</v>
      </c>
      <c r="F22" s="4">
        <f t="shared" si="0"/>
        <v>69714</v>
      </c>
      <c r="G22" s="1">
        <f>_xlfn.XLOOKUP(D22,Products!$B$2:$B$21,Products!$A$2:$A$21,,0)</f>
        <v>7</v>
      </c>
    </row>
    <row r="23" spans="1:7" x14ac:dyDescent="0.3">
      <c r="A23" s="1">
        <v>5022</v>
      </c>
      <c r="B23" s="1">
        <v>7</v>
      </c>
      <c r="C23" s="4">
        <v>4</v>
      </c>
      <c r="D23" s="1" t="str">
        <f>_xlfn.XLOOKUP(B23,Products!$A$2:$A$21,Products!$B$2:$B$21,,0)</f>
        <v>Camera</v>
      </c>
      <c r="E23" s="1">
        <f>_xlfn.XLOOKUP(D23,Products!$B$2:$B$21,Products!$C$2:$C$21,,0)</f>
        <v>34857</v>
      </c>
      <c r="F23" s="4">
        <f t="shared" si="0"/>
        <v>139428</v>
      </c>
      <c r="G23" s="1">
        <f>_xlfn.XLOOKUP(D23,Products!$B$2:$B$21,Products!$A$2:$A$21,,0)</f>
        <v>7</v>
      </c>
    </row>
    <row r="24" spans="1:7" x14ac:dyDescent="0.3">
      <c r="A24" s="1">
        <v>5023</v>
      </c>
      <c r="B24" s="1">
        <v>20</v>
      </c>
      <c r="C24" s="4">
        <v>4</v>
      </c>
      <c r="D24" s="1" t="str">
        <f>_xlfn.XLOOKUP(B24,Products!$A$2:$A$21,Products!$B$2:$B$21,,0)</f>
        <v>SSD</v>
      </c>
      <c r="E24" s="1">
        <f>_xlfn.XLOOKUP(D24,Products!$B$2:$B$21,Products!$C$2:$C$21,,0)</f>
        <v>10724</v>
      </c>
      <c r="F24" s="4">
        <f t="shared" si="0"/>
        <v>42896</v>
      </c>
      <c r="G24" s="1">
        <f>_xlfn.XLOOKUP(D24,Products!$B$2:$B$21,Products!$A$2:$A$21,,0)</f>
        <v>20</v>
      </c>
    </row>
    <row r="25" spans="1:7" x14ac:dyDescent="0.3">
      <c r="A25" s="1">
        <v>5024</v>
      </c>
      <c r="B25" s="1">
        <v>12</v>
      </c>
      <c r="C25" s="4">
        <v>4</v>
      </c>
      <c r="D25" s="1" t="str">
        <f>_xlfn.XLOOKUP(B25,Products!$A$2:$A$21,Products!$B$2:$B$21,,0)</f>
        <v>AC</v>
      </c>
      <c r="E25" s="1">
        <f>_xlfn.XLOOKUP(D25,Products!$B$2:$B$21,Products!$C$2:$C$21,,0)</f>
        <v>32456</v>
      </c>
      <c r="F25" s="4">
        <f t="shared" si="0"/>
        <v>129824</v>
      </c>
      <c r="G25" s="1">
        <f>_xlfn.XLOOKUP(D25,Products!$B$2:$B$21,Products!$A$2:$A$21,,0)</f>
        <v>12</v>
      </c>
    </row>
    <row r="26" spans="1:7" x14ac:dyDescent="0.3">
      <c r="A26" s="1">
        <v>5025</v>
      </c>
      <c r="B26" s="1">
        <v>10</v>
      </c>
      <c r="C26" s="4">
        <v>5</v>
      </c>
      <c r="D26" s="1" t="str">
        <f>_xlfn.XLOOKUP(B26,Products!$A$2:$A$21,Products!$B$2:$B$21,,0)</f>
        <v>Chair</v>
      </c>
      <c r="E26" s="1">
        <f>_xlfn.XLOOKUP(D26,Products!$B$2:$B$21,Products!$C$2:$C$21,,0)</f>
        <v>18164</v>
      </c>
      <c r="F26" s="4">
        <f t="shared" si="0"/>
        <v>90820</v>
      </c>
      <c r="G26" s="1">
        <f>_xlfn.XLOOKUP(D26,Products!$B$2:$B$21,Products!$A$2:$A$21,,0)</f>
        <v>10</v>
      </c>
    </row>
    <row r="27" spans="1:7" x14ac:dyDescent="0.3">
      <c r="A27" s="1">
        <v>5026</v>
      </c>
      <c r="B27" s="1">
        <v>3</v>
      </c>
      <c r="C27" s="4">
        <v>4</v>
      </c>
      <c r="D27" s="1" t="str">
        <f>_xlfn.XLOOKUP(B27,Products!$A$2:$A$21,Products!$B$2:$B$21,,0)</f>
        <v>Keyboard</v>
      </c>
      <c r="E27" s="1">
        <f>_xlfn.XLOOKUP(D27,Products!$B$2:$B$21,Products!$C$2:$C$21,,0)</f>
        <v>26587</v>
      </c>
      <c r="F27" s="4">
        <f t="shared" si="0"/>
        <v>106348</v>
      </c>
      <c r="G27" s="1">
        <f>_xlfn.XLOOKUP(D27,Products!$B$2:$B$21,Products!$A$2:$A$21,,0)</f>
        <v>3</v>
      </c>
    </row>
    <row r="28" spans="1:7" x14ac:dyDescent="0.3">
      <c r="A28" s="1">
        <v>5027</v>
      </c>
      <c r="B28" s="1">
        <v>2</v>
      </c>
      <c r="C28" s="4">
        <v>3</v>
      </c>
      <c r="D28" s="1" t="str">
        <f>_xlfn.XLOOKUP(B28,Products!$A$2:$A$21,Products!$B$2:$B$21,,0)</f>
        <v>Mouse</v>
      </c>
      <c r="E28" s="1">
        <f>_xlfn.XLOOKUP(D28,Products!$B$2:$B$21,Products!$C$2:$C$21,,0)</f>
        <v>40685</v>
      </c>
      <c r="F28" s="4">
        <f t="shared" si="0"/>
        <v>122055</v>
      </c>
      <c r="G28" s="1">
        <f>_xlfn.XLOOKUP(D28,Products!$B$2:$B$21,Products!$A$2:$A$21,,0)</f>
        <v>2</v>
      </c>
    </row>
    <row r="29" spans="1:7" x14ac:dyDescent="0.3">
      <c r="A29" s="1">
        <v>5028</v>
      </c>
      <c r="B29" s="1">
        <v>19</v>
      </c>
      <c r="C29" s="4">
        <v>5</v>
      </c>
      <c r="D29" s="1" t="str">
        <f>_xlfn.XLOOKUP(B29,Products!$A$2:$A$21,Products!$B$2:$B$21,,0)</f>
        <v>Router</v>
      </c>
      <c r="E29" s="1">
        <f>_xlfn.XLOOKUP(D29,Products!$B$2:$B$21,Products!$C$2:$C$21,,0)</f>
        <v>37165</v>
      </c>
      <c r="F29" s="4">
        <f t="shared" si="0"/>
        <v>185825</v>
      </c>
      <c r="G29" s="1">
        <f>_xlfn.XLOOKUP(D29,Products!$B$2:$B$21,Products!$A$2:$A$21,,0)</f>
        <v>19</v>
      </c>
    </row>
    <row r="30" spans="1:7" x14ac:dyDescent="0.3">
      <c r="A30" s="1">
        <v>5029</v>
      </c>
      <c r="B30" s="1">
        <v>4</v>
      </c>
      <c r="C30" s="4">
        <v>1</v>
      </c>
      <c r="D30" s="1" t="str">
        <f>_xlfn.XLOOKUP(B30,Products!$A$2:$A$21,Products!$B$2:$B$21,,0)</f>
        <v>Monitor</v>
      </c>
      <c r="E30" s="1">
        <f>_xlfn.XLOOKUP(D30,Products!$B$2:$B$21,Products!$C$2:$C$21,,0)</f>
        <v>30181</v>
      </c>
      <c r="F30" s="4">
        <f t="shared" si="0"/>
        <v>30181</v>
      </c>
      <c r="G30" s="1">
        <f>_xlfn.XLOOKUP(D30,Products!$B$2:$B$21,Products!$A$2:$A$21,,0)</f>
        <v>4</v>
      </c>
    </row>
    <row r="31" spans="1:7" x14ac:dyDescent="0.3">
      <c r="A31" s="1">
        <v>5030</v>
      </c>
      <c r="B31" s="1">
        <v>20</v>
      </c>
      <c r="C31" s="4">
        <v>5</v>
      </c>
      <c r="D31" s="1" t="str">
        <f>_xlfn.XLOOKUP(B31,Products!$A$2:$A$21,Products!$B$2:$B$21,,0)</f>
        <v>SSD</v>
      </c>
      <c r="E31" s="1">
        <f>_xlfn.XLOOKUP(D31,Products!$B$2:$B$21,Products!$C$2:$C$21,,0)</f>
        <v>10724</v>
      </c>
      <c r="F31" s="4">
        <f t="shared" si="0"/>
        <v>53620</v>
      </c>
      <c r="G31" s="1">
        <f>_xlfn.XLOOKUP(D31,Products!$B$2:$B$21,Products!$A$2:$A$21,,0)</f>
        <v>20</v>
      </c>
    </row>
    <row r="32" spans="1:7" x14ac:dyDescent="0.3">
      <c r="A32" s="1">
        <v>5031</v>
      </c>
      <c r="B32" s="1">
        <v>9</v>
      </c>
      <c r="C32" s="4">
        <v>2</v>
      </c>
      <c r="D32" s="1" t="str">
        <f>_xlfn.XLOOKUP(B32,Products!$A$2:$A$21,Products!$B$2:$B$21,,0)</f>
        <v>Desk</v>
      </c>
      <c r="E32" s="1">
        <f>_xlfn.XLOOKUP(D32,Products!$B$2:$B$21,Products!$C$2:$C$21,,0)</f>
        <v>15870</v>
      </c>
      <c r="F32" s="4">
        <f t="shared" si="0"/>
        <v>31740</v>
      </c>
      <c r="G32" s="1">
        <f>_xlfn.XLOOKUP(D32,Products!$B$2:$B$21,Products!$A$2:$A$21,,0)</f>
        <v>9</v>
      </c>
    </row>
    <row r="33" spans="1:7" x14ac:dyDescent="0.3">
      <c r="A33" s="1">
        <v>5032</v>
      </c>
      <c r="B33" s="1">
        <v>7</v>
      </c>
      <c r="C33" s="4">
        <v>4</v>
      </c>
      <c r="D33" s="1" t="str">
        <f>_xlfn.XLOOKUP(B33,Products!$A$2:$A$21,Products!$B$2:$B$21,,0)</f>
        <v>Camera</v>
      </c>
      <c r="E33" s="1">
        <f>_xlfn.XLOOKUP(D33,Products!$B$2:$B$21,Products!$C$2:$C$21,,0)</f>
        <v>34857</v>
      </c>
      <c r="F33" s="4">
        <f t="shared" si="0"/>
        <v>139428</v>
      </c>
      <c r="G33" s="1">
        <f>_xlfn.XLOOKUP(D33,Products!$B$2:$B$21,Products!$A$2:$A$21,,0)</f>
        <v>7</v>
      </c>
    </row>
    <row r="34" spans="1:7" x14ac:dyDescent="0.3">
      <c r="A34" s="1">
        <v>5033</v>
      </c>
      <c r="B34" s="1">
        <v>11</v>
      </c>
      <c r="C34" s="4">
        <v>2</v>
      </c>
      <c r="D34" s="1" t="str">
        <f>_xlfn.XLOOKUP(B34,Products!$A$2:$A$21,Products!$B$2:$B$21,,0)</f>
        <v>Fan</v>
      </c>
      <c r="E34" s="1">
        <f>_xlfn.XLOOKUP(D34,Products!$B$2:$B$21,Products!$C$2:$C$21,,0)</f>
        <v>45046</v>
      </c>
      <c r="F34" s="4">
        <f t="shared" si="0"/>
        <v>90092</v>
      </c>
      <c r="G34" s="1">
        <f>_xlfn.XLOOKUP(D34,Products!$B$2:$B$21,Products!$A$2:$A$21,,0)</f>
        <v>11</v>
      </c>
    </row>
    <row r="35" spans="1:7" x14ac:dyDescent="0.3">
      <c r="A35" s="1">
        <v>5034</v>
      </c>
      <c r="B35" s="1">
        <v>4</v>
      </c>
      <c r="C35" s="4">
        <v>3</v>
      </c>
      <c r="D35" s="1" t="str">
        <f>_xlfn.XLOOKUP(B35,Products!$A$2:$A$21,Products!$B$2:$B$21,,0)</f>
        <v>Monitor</v>
      </c>
      <c r="E35" s="1">
        <f>_xlfn.XLOOKUP(D35,Products!$B$2:$B$21,Products!$C$2:$C$21,,0)</f>
        <v>30181</v>
      </c>
      <c r="F35" s="4">
        <f t="shared" si="0"/>
        <v>90543</v>
      </c>
      <c r="G35" s="1">
        <f>_xlfn.XLOOKUP(D35,Products!$B$2:$B$21,Products!$A$2:$A$21,,0)</f>
        <v>4</v>
      </c>
    </row>
    <row r="36" spans="1:7" x14ac:dyDescent="0.3">
      <c r="A36" s="1">
        <v>5035</v>
      </c>
      <c r="B36" s="1">
        <v>2</v>
      </c>
      <c r="C36" s="4">
        <v>4</v>
      </c>
      <c r="D36" s="1" t="str">
        <f>_xlfn.XLOOKUP(B36,Products!$A$2:$A$21,Products!$B$2:$B$21,,0)</f>
        <v>Mouse</v>
      </c>
      <c r="E36" s="1">
        <f>_xlfn.XLOOKUP(D36,Products!$B$2:$B$21,Products!$C$2:$C$21,,0)</f>
        <v>40685</v>
      </c>
      <c r="F36" s="4">
        <f t="shared" si="0"/>
        <v>162740</v>
      </c>
      <c r="G36" s="1">
        <f>_xlfn.XLOOKUP(D36,Products!$B$2:$B$21,Products!$A$2:$A$21,,0)</f>
        <v>2</v>
      </c>
    </row>
    <row r="37" spans="1:7" x14ac:dyDescent="0.3">
      <c r="A37" s="1">
        <v>5036</v>
      </c>
      <c r="B37" s="1">
        <v>8</v>
      </c>
      <c r="C37" s="4">
        <v>4</v>
      </c>
      <c r="D37" s="1" t="str">
        <f>_xlfn.XLOOKUP(B37,Products!$A$2:$A$21,Products!$B$2:$B$21,,0)</f>
        <v>Printer</v>
      </c>
      <c r="E37" s="1">
        <f>_xlfn.XLOOKUP(D37,Products!$B$2:$B$21,Products!$C$2:$C$21,,0)</f>
        <v>31589</v>
      </c>
      <c r="F37" s="4">
        <f t="shared" si="0"/>
        <v>126356</v>
      </c>
      <c r="G37" s="1">
        <f>_xlfn.XLOOKUP(D37,Products!$B$2:$B$21,Products!$A$2:$A$21,,0)</f>
        <v>8</v>
      </c>
    </row>
    <row r="38" spans="1:7" x14ac:dyDescent="0.3">
      <c r="A38" s="1">
        <v>5037</v>
      </c>
      <c r="B38" s="1">
        <v>4</v>
      </c>
      <c r="C38" s="4">
        <v>2</v>
      </c>
      <c r="D38" s="1" t="str">
        <f>_xlfn.XLOOKUP(B38,Products!$A$2:$A$21,Products!$B$2:$B$21,,0)</f>
        <v>Monitor</v>
      </c>
      <c r="E38" s="1">
        <f>_xlfn.XLOOKUP(D38,Products!$B$2:$B$21,Products!$C$2:$C$21,,0)</f>
        <v>30181</v>
      </c>
      <c r="F38" s="4">
        <f t="shared" si="0"/>
        <v>60362</v>
      </c>
      <c r="G38" s="1">
        <f>_xlfn.XLOOKUP(D38,Products!$B$2:$B$21,Products!$A$2:$A$21,,0)</f>
        <v>4</v>
      </c>
    </row>
    <row r="39" spans="1:7" x14ac:dyDescent="0.3">
      <c r="A39" s="1">
        <v>5038</v>
      </c>
      <c r="B39" s="1">
        <v>18</v>
      </c>
      <c r="C39" s="4">
        <v>2</v>
      </c>
      <c r="D39" s="1" t="str">
        <f>_xlfn.XLOOKUP(B39,Products!$A$2:$A$21,Products!$B$2:$B$21,,0)</f>
        <v>Speaker</v>
      </c>
      <c r="E39" s="1">
        <f>_xlfn.XLOOKUP(D39,Products!$B$2:$B$21,Products!$C$2:$C$21,,0)</f>
        <v>28829</v>
      </c>
      <c r="F39" s="4">
        <f t="shared" si="0"/>
        <v>57658</v>
      </c>
      <c r="G39" s="1">
        <f>_xlfn.XLOOKUP(D39,Products!$B$2:$B$21,Products!$A$2:$A$21,,0)</f>
        <v>18</v>
      </c>
    </row>
    <row r="40" spans="1:7" x14ac:dyDescent="0.3">
      <c r="A40" s="1">
        <v>5039</v>
      </c>
      <c r="B40" s="1">
        <v>5</v>
      </c>
      <c r="C40" s="4">
        <v>4</v>
      </c>
      <c r="D40" s="1" t="str">
        <f>_xlfn.XLOOKUP(B40,Products!$A$2:$A$21,Products!$B$2:$B$21,,0)</f>
        <v>Tablet</v>
      </c>
      <c r="E40" s="1">
        <f>_xlfn.XLOOKUP(D40,Products!$B$2:$B$21,Products!$C$2:$C$21,,0)</f>
        <v>13509</v>
      </c>
      <c r="F40" s="4">
        <f t="shared" si="0"/>
        <v>54036</v>
      </c>
      <c r="G40" s="1">
        <f>_xlfn.XLOOKUP(D40,Products!$B$2:$B$21,Products!$A$2:$A$21,,0)</f>
        <v>5</v>
      </c>
    </row>
    <row r="41" spans="1:7" x14ac:dyDescent="0.3">
      <c r="A41" s="1">
        <v>5040</v>
      </c>
      <c r="B41" s="1">
        <v>8</v>
      </c>
      <c r="C41" s="4">
        <v>1</v>
      </c>
      <c r="D41" s="1" t="str">
        <f>_xlfn.XLOOKUP(B41,Products!$A$2:$A$21,Products!$B$2:$B$21,,0)</f>
        <v>Printer</v>
      </c>
      <c r="E41" s="1">
        <f>_xlfn.XLOOKUP(D41,Products!$B$2:$B$21,Products!$C$2:$C$21,,0)</f>
        <v>31589</v>
      </c>
      <c r="F41" s="4">
        <f t="shared" si="0"/>
        <v>31589</v>
      </c>
      <c r="G41" s="1">
        <f>_xlfn.XLOOKUP(D41,Products!$B$2:$B$21,Products!$A$2:$A$21,,0)</f>
        <v>8</v>
      </c>
    </row>
    <row r="42" spans="1:7" x14ac:dyDescent="0.3">
      <c r="A42" s="1">
        <v>5041</v>
      </c>
      <c r="B42" s="1">
        <v>8</v>
      </c>
      <c r="C42" s="4">
        <v>5</v>
      </c>
      <c r="D42" s="1" t="str">
        <f>_xlfn.XLOOKUP(B42,Products!$A$2:$A$21,Products!$B$2:$B$21,,0)</f>
        <v>Printer</v>
      </c>
      <c r="E42" s="1">
        <f>_xlfn.XLOOKUP(D42,Products!$B$2:$B$21,Products!$C$2:$C$21,,0)</f>
        <v>31589</v>
      </c>
      <c r="F42" s="4">
        <f t="shared" si="0"/>
        <v>157945</v>
      </c>
      <c r="G42" s="1">
        <f>_xlfn.XLOOKUP(D42,Products!$B$2:$B$21,Products!$A$2:$A$21,,0)</f>
        <v>8</v>
      </c>
    </row>
    <row r="43" spans="1:7" x14ac:dyDescent="0.3">
      <c r="A43" s="1">
        <v>5042</v>
      </c>
      <c r="B43" s="1">
        <v>11</v>
      </c>
      <c r="C43" s="4">
        <v>3</v>
      </c>
      <c r="D43" s="1" t="str">
        <f>_xlfn.XLOOKUP(B43,Products!$A$2:$A$21,Products!$B$2:$B$21,,0)</f>
        <v>Fan</v>
      </c>
      <c r="E43" s="1">
        <f>_xlfn.XLOOKUP(D43,Products!$B$2:$B$21,Products!$C$2:$C$21,,0)</f>
        <v>45046</v>
      </c>
      <c r="F43" s="4">
        <f t="shared" si="0"/>
        <v>135138</v>
      </c>
      <c r="G43" s="1">
        <f>_xlfn.XLOOKUP(D43,Products!$B$2:$B$21,Products!$A$2:$A$21,,0)</f>
        <v>11</v>
      </c>
    </row>
    <row r="44" spans="1:7" x14ac:dyDescent="0.3">
      <c r="A44" s="1">
        <v>5043</v>
      </c>
      <c r="B44" s="1">
        <v>12</v>
      </c>
      <c r="C44" s="4">
        <v>5</v>
      </c>
      <c r="D44" s="1" t="str">
        <f>_xlfn.XLOOKUP(B44,Products!$A$2:$A$21,Products!$B$2:$B$21,,0)</f>
        <v>AC</v>
      </c>
      <c r="E44" s="1">
        <f>_xlfn.XLOOKUP(D44,Products!$B$2:$B$21,Products!$C$2:$C$21,,0)</f>
        <v>32456</v>
      </c>
      <c r="F44" s="4">
        <f t="shared" si="0"/>
        <v>162280</v>
      </c>
      <c r="G44" s="1">
        <f>_xlfn.XLOOKUP(D44,Products!$B$2:$B$21,Products!$A$2:$A$21,,0)</f>
        <v>12</v>
      </c>
    </row>
    <row r="45" spans="1:7" x14ac:dyDescent="0.3">
      <c r="A45" s="1">
        <v>5044</v>
      </c>
      <c r="B45" s="1">
        <v>9</v>
      </c>
      <c r="C45" s="4">
        <v>1</v>
      </c>
      <c r="D45" s="1" t="str">
        <f>_xlfn.XLOOKUP(B45,Products!$A$2:$A$21,Products!$B$2:$B$21,,0)</f>
        <v>Desk</v>
      </c>
      <c r="E45" s="1">
        <f>_xlfn.XLOOKUP(D45,Products!$B$2:$B$21,Products!$C$2:$C$21,,0)</f>
        <v>15870</v>
      </c>
      <c r="F45" s="4">
        <f t="shared" si="0"/>
        <v>15870</v>
      </c>
      <c r="G45" s="1">
        <f>_xlfn.XLOOKUP(D45,Products!$B$2:$B$21,Products!$A$2:$A$21,,0)</f>
        <v>9</v>
      </c>
    </row>
    <row r="46" spans="1:7" x14ac:dyDescent="0.3">
      <c r="A46" s="1">
        <v>5045</v>
      </c>
      <c r="B46" s="1">
        <v>2</v>
      </c>
      <c r="C46" s="4">
        <v>2</v>
      </c>
      <c r="D46" s="1" t="str">
        <f>_xlfn.XLOOKUP(B46,Products!$A$2:$A$21,Products!$B$2:$B$21,,0)</f>
        <v>Mouse</v>
      </c>
      <c r="E46" s="1">
        <f>_xlfn.XLOOKUP(D46,Products!$B$2:$B$21,Products!$C$2:$C$21,,0)</f>
        <v>40685</v>
      </c>
      <c r="F46" s="4">
        <f t="shared" si="0"/>
        <v>81370</v>
      </c>
      <c r="G46" s="1">
        <f>_xlfn.XLOOKUP(D46,Products!$B$2:$B$21,Products!$A$2:$A$21,,0)</f>
        <v>2</v>
      </c>
    </row>
    <row r="47" spans="1:7" x14ac:dyDescent="0.3">
      <c r="A47" s="1">
        <v>5046</v>
      </c>
      <c r="B47" s="1">
        <v>19</v>
      </c>
      <c r="C47" s="4">
        <v>5</v>
      </c>
      <c r="D47" s="1" t="str">
        <f>_xlfn.XLOOKUP(B47,Products!$A$2:$A$21,Products!$B$2:$B$21,,0)</f>
        <v>Router</v>
      </c>
      <c r="E47" s="1">
        <f>_xlfn.XLOOKUP(D47,Products!$B$2:$B$21,Products!$C$2:$C$21,,0)</f>
        <v>37165</v>
      </c>
      <c r="F47" s="4">
        <f t="shared" si="0"/>
        <v>185825</v>
      </c>
      <c r="G47" s="1">
        <f>_xlfn.XLOOKUP(D47,Products!$B$2:$B$21,Products!$A$2:$A$21,,0)</f>
        <v>19</v>
      </c>
    </row>
    <row r="48" spans="1:7" x14ac:dyDescent="0.3">
      <c r="A48" s="1">
        <v>5047</v>
      </c>
      <c r="B48" s="1">
        <v>2</v>
      </c>
      <c r="C48" s="4">
        <v>5</v>
      </c>
      <c r="D48" s="1" t="str">
        <f>_xlfn.XLOOKUP(B48,Products!$A$2:$A$21,Products!$B$2:$B$21,,0)</f>
        <v>Mouse</v>
      </c>
      <c r="E48" s="1">
        <f>_xlfn.XLOOKUP(D48,Products!$B$2:$B$21,Products!$C$2:$C$21,,0)</f>
        <v>40685</v>
      </c>
      <c r="F48" s="4">
        <f t="shared" si="0"/>
        <v>203425</v>
      </c>
      <c r="G48" s="1">
        <f>_xlfn.XLOOKUP(D48,Products!$B$2:$B$21,Products!$A$2:$A$21,,0)</f>
        <v>2</v>
      </c>
    </row>
    <row r="49" spans="1:7" x14ac:dyDescent="0.3">
      <c r="A49" s="1">
        <v>5048</v>
      </c>
      <c r="B49" s="1">
        <v>2</v>
      </c>
      <c r="C49" s="4">
        <v>1</v>
      </c>
      <c r="D49" s="1" t="str">
        <f>_xlfn.XLOOKUP(B49,Products!$A$2:$A$21,Products!$B$2:$B$21,,0)</f>
        <v>Mouse</v>
      </c>
      <c r="E49" s="1">
        <f>_xlfn.XLOOKUP(D49,Products!$B$2:$B$21,Products!$C$2:$C$21,,0)</f>
        <v>40685</v>
      </c>
      <c r="F49" s="4">
        <f t="shared" si="0"/>
        <v>40685</v>
      </c>
      <c r="G49" s="1">
        <f>_xlfn.XLOOKUP(D49,Products!$B$2:$B$21,Products!$A$2:$A$21,,0)</f>
        <v>2</v>
      </c>
    </row>
    <row r="50" spans="1:7" x14ac:dyDescent="0.3">
      <c r="A50" s="1">
        <v>5049</v>
      </c>
      <c r="B50" s="1">
        <v>17</v>
      </c>
      <c r="C50" s="4">
        <v>1</v>
      </c>
      <c r="D50" s="1" t="str">
        <f>_xlfn.XLOOKUP(B50,Products!$A$2:$A$21,Products!$B$2:$B$21,,0)</f>
        <v>TV</v>
      </c>
      <c r="E50" s="1">
        <f>_xlfn.XLOOKUP(D50,Products!$B$2:$B$21,Products!$C$2:$C$21,,0)</f>
        <v>25434</v>
      </c>
      <c r="F50" s="4">
        <f t="shared" si="0"/>
        <v>25434</v>
      </c>
      <c r="G50" s="1">
        <f>_xlfn.XLOOKUP(D50,Products!$B$2:$B$21,Products!$A$2:$A$21,,0)</f>
        <v>17</v>
      </c>
    </row>
    <row r="51" spans="1:7" x14ac:dyDescent="0.3">
      <c r="A51" s="1">
        <v>5050</v>
      </c>
      <c r="B51" s="1">
        <v>17</v>
      </c>
      <c r="C51" s="4">
        <v>4</v>
      </c>
      <c r="D51" s="1" t="str">
        <f>_xlfn.XLOOKUP(B51,Products!$A$2:$A$21,Products!$B$2:$B$21,,0)</f>
        <v>TV</v>
      </c>
      <c r="E51" s="1">
        <f>_xlfn.XLOOKUP(D51,Products!$B$2:$B$21,Products!$C$2:$C$21,,0)</f>
        <v>25434</v>
      </c>
      <c r="F51" s="4">
        <f t="shared" si="0"/>
        <v>101736</v>
      </c>
      <c r="G51" s="1">
        <f>_xlfn.XLOOKUP(D51,Products!$B$2:$B$21,Products!$A$2:$A$21,,0)</f>
        <v>17</v>
      </c>
    </row>
    <row r="52" spans="1:7" x14ac:dyDescent="0.3">
      <c r="A52" s="1">
        <v>5051</v>
      </c>
      <c r="B52" s="1">
        <v>11</v>
      </c>
      <c r="C52" s="4">
        <v>3</v>
      </c>
      <c r="D52" s="1" t="str">
        <f>_xlfn.XLOOKUP(B52,Products!$A$2:$A$21,Products!$B$2:$B$21,,0)</f>
        <v>Fan</v>
      </c>
      <c r="E52" s="1">
        <f>_xlfn.XLOOKUP(D52,Products!$B$2:$B$21,Products!$C$2:$C$21,,0)</f>
        <v>45046</v>
      </c>
      <c r="F52" s="4">
        <f t="shared" si="0"/>
        <v>135138</v>
      </c>
      <c r="G52" s="1">
        <f>_xlfn.XLOOKUP(D52,Products!$B$2:$B$21,Products!$A$2:$A$21,,0)</f>
        <v>11</v>
      </c>
    </row>
    <row r="53" spans="1:7" x14ac:dyDescent="0.3">
      <c r="A53" s="1">
        <v>5052</v>
      </c>
      <c r="B53" s="1">
        <v>13</v>
      </c>
      <c r="C53" s="4">
        <v>2</v>
      </c>
      <c r="D53" s="1" t="str">
        <f>_xlfn.XLOOKUP(B53,Products!$A$2:$A$21,Products!$B$2:$B$21,,0)</f>
        <v>Pen</v>
      </c>
      <c r="E53" s="1">
        <f>_xlfn.XLOOKUP(D53,Products!$B$2:$B$21,Products!$C$2:$C$21,,0)</f>
        <v>3900</v>
      </c>
      <c r="F53" s="4">
        <f t="shared" si="0"/>
        <v>7800</v>
      </c>
      <c r="G53" s="1">
        <f>_xlfn.XLOOKUP(D53,Products!$B$2:$B$21,Products!$A$2:$A$21,,0)</f>
        <v>13</v>
      </c>
    </row>
    <row r="54" spans="1:7" x14ac:dyDescent="0.3">
      <c r="A54" s="1">
        <v>5053</v>
      </c>
      <c r="B54" s="1">
        <v>11</v>
      </c>
      <c r="C54" s="4">
        <v>5</v>
      </c>
      <c r="D54" s="1" t="str">
        <f>_xlfn.XLOOKUP(B54,Products!$A$2:$A$21,Products!$B$2:$B$21,,0)</f>
        <v>Fan</v>
      </c>
      <c r="E54" s="1">
        <f>_xlfn.XLOOKUP(D54,Products!$B$2:$B$21,Products!$C$2:$C$21,,0)</f>
        <v>45046</v>
      </c>
      <c r="F54" s="4">
        <f t="shared" si="0"/>
        <v>225230</v>
      </c>
      <c r="G54" s="1">
        <f>_xlfn.XLOOKUP(D54,Products!$B$2:$B$21,Products!$A$2:$A$21,,0)</f>
        <v>11</v>
      </c>
    </row>
    <row r="55" spans="1:7" x14ac:dyDescent="0.3">
      <c r="A55" s="1">
        <v>5054</v>
      </c>
      <c r="B55" s="1">
        <v>13</v>
      </c>
      <c r="C55" s="4">
        <v>1</v>
      </c>
      <c r="D55" s="1" t="str">
        <f>_xlfn.XLOOKUP(B55,Products!$A$2:$A$21,Products!$B$2:$B$21,,0)</f>
        <v>Pen</v>
      </c>
      <c r="E55" s="1">
        <f>_xlfn.XLOOKUP(D55,Products!$B$2:$B$21,Products!$C$2:$C$21,,0)</f>
        <v>3900</v>
      </c>
      <c r="F55" s="4">
        <f t="shared" si="0"/>
        <v>3900</v>
      </c>
      <c r="G55" s="1">
        <f>_xlfn.XLOOKUP(D55,Products!$B$2:$B$21,Products!$A$2:$A$21,,0)</f>
        <v>13</v>
      </c>
    </row>
    <row r="56" spans="1:7" x14ac:dyDescent="0.3">
      <c r="A56" s="1">
        <v>5055</v>
      </c>
      <c r="B56" s="1">
        <v>20</v>
      </c>
      <c r="C56" s="4">
        <v>5</v>
      </c>
      <c r="D56" s="1" t="str">
        <f>_xlfn.XLOOKUP(B56,Products!$A$2:$A$21,Products!$B$2:$B$21,,0)</f>
        <v>SSD</v>
      </c>
      <c r="E56" s="1">
        <f>_xlfn.XLOOKUP(D56,Products!$B$2:$B$21,Products!$C$2:$C$21,,0)</f>
        <v>10724</v>
      </c>
      <c r="F56" s="4">
        <f t="shared" si="0"/>
        <v>53620</v>
      </c>
      <c r="G56" s="1">
        <f>_xlfn.XLOOKUP(D56,Products!$B$2:$B$21,Products!$A$2:$A$21,,0)</f>
        <v>20</v>
      </c>
    </row>
    <row r="57" spans="1:7" x14ac:dyDescent="0.3">
      <c r="A57" s="1">
        <v>5056</v>
      </c>
      <c r="B57" s="1">
        <v>17</v>
      </c>
      <c r="C57" s="4">
        <v>2</v>
      </c>
      <c r="D57" s="1" t="str">
        <f>_xlfn.XLOOKUP(B57,Products!$A$2:$A$21,Products!$B$2:$B$21,,0)</f>
        <v>TV</v>
      </c>
      <c r="E57" s="1">
        <f>_xlfn.XLOOKUP(D57,Products!$B$2:$B$21,Products!$C$2:$C$21,,0)</f>
        <v>25434</v>
      </c>
      <c r="F57" s="4">
        <f t="shared" si="0"/>
        <v>50868</v>
      </c>
      <c r="G57" s="1">
        <f>_xlfn.XLOOKUP(D57,Products!$B$2:$B$21,Products!$A$2:$A$21,,0)</f>
        <v>17</v>
      </c>
    </row>
    <row r="58" spans="1:7" x14ac:dyDescent="0.3">
      <c r="A58" s="1">
        <v>5057</v>
      </c>
      <c r="B58" s="1">
        <v>4</v>
      </c>
      <c r="C58" s="4">
        <v>4</v>
      </c>
      <c r="D58" s="1" t="str">
        <f>_xlfn.XLOOKUP(B58,Products!$A$2:$A$21,Products!$B$2:$B$21,,0)</f>
        <v>Monitor</v>
      </c>
      <c r="E58" s="1">
        <f>_xlfn.XLOOKUP(D58,Products!$B$2:$B$21,Products!$C$2:$C$21,,0)</f>
        <v>30181</v>
      </c>
      <c r="F58" s="4">
        <f t="shared" si="0"/>
        <v>120724</v>
      </c>
      <c r="G58" s="1">
        <f>_xlfn.XLOOKUP(D58,Products!$B$2:$B$21,Products!$A$2:$A$21,,0)</f>
        <v>4</v>
      </c>
    </row>
    <row r="59" spans="1:7" x14ac:dyDescent="0.3">
      <c r="A59" s="1">
        <v>5058</v>
      </c>
      <c r="B59" s="1">
        <v>1</v>
      </c>
      <c r="C59" s="4">
        <v>3</v>
      </c>
      <c r="D59" s="1" t="str">
        <f>_xlfn.XLOOKUP(B59,Products!$A$2:$A$21,Products!$B$2:$B$21,,0)</f>
        <v>Laptop</v>
      </c>
      <c r="E59" s="1">
        <f>_xlfn.XLOOKUP(D59,Products!$B$2:$B$21,Products!$C$2:$C$21,,0)</f>
        <v>34130</v>
      </c>
      <c r="F59" s="4">
        <f t="shared" si="0"/>
        <v>102390</v>
      </c>
      <c r="G59" s="1">
        <f>_xlfn.XLOOKUP(D59,Products!$B$2:$B$21,Products!$A$2:$A$21,,0)</f>
        <v>1</v>
      </c>
    </row>
    <row r="60" spans="1:7" x14ac:dyDescent="0.3">
      <c r="A60" s="1">
        <v>5059</v>
      </c>
      <c r="B60" s="1">
        <v>5</v>
      </c>
      <c r="C60" s="4">
        <v>2</v>
      </c>
      <c r="D60" s="1" t="str">
        <f>_xlfn.XLOOKUP(B60,Products!$A$2:$A$21,Products!$B$2:$B$21,,0)</f>
        <v>Tablet</v>
      </c>
      <c r="E60" s="1">
        <f>_xlfn.XLOOKUP(D60,Products!$B$2:$B$21,Products!$C$2:$C$21,,0)</f>
        <v>13509</v>
      </c>
      <c r="F60" s="4">
        <f t="shared" si="0"/>
        <v>27018</v>
      </c>
      <c r="G60" s="1">
        <f>_xlfn.XLOOKUP(D60,Products!$B$2:$B$21,Products!$A$2:$A$21,,0)</f>
        <v>5</v>
      </c>
    </row>
    <row r="61" spans="1:7" x14ac:dyDescent="0.3">
      <c r="A61" s="1">
        <v>5060</v>
      </c>
      <c r="B61" s="1">
        <v>12</v>
      </c>
      <c r="C61" s="4">
        <v>1</v>
      </c>
      <c r="D61" s="1" t="str">
        <f>_xlfn.XLOOKUP(B61,Products!$A$2:$A$21,Products!$B$2:$B$21,,0)</f>
        <v>AC</v>
      </c>
      <c r="E61" s="1">
        <f>_xlfn.XLOOKUP(D61,Products!$B$2:$B$21,Products!$C$2:$C$21,,0)</f>
        <v>32456</v>
      </c>
      <c r="F61" s="4">
        <f t="shared" si="0"/>
        <v>32456</v>
      </c>
      <c r="G61" s="1">
        <f>_xlfn.XLOOKUP(D61,Products!$B$2:$B$21,Products!$A$2:$A$21,,0)</f>
        <v>12</v>
      </c>
    </row>
    <row r="62" spans="1:7" x14ac:dyDescent="0.3">
      <c r="A62" s="1">
        <v>5061</v>
      </c>
      <c r="B62" s="1">
        <v>10</v>
      </c>
      <c r="C62" s="4">
        <v>3</v>
      </c>
      <c r="D62" s="1" t="str">
        <f>_xlfn.XLOOKUP(B62,Products!$A$2:$A$21,Products!$B$2:$B$21,,0)</f>
        <v>Chair</v>
      </c>
      <c r="E62" s="1">
        <f>_xlfn.XLOOKUP(D62,Products!$B$2:$B$21,Products!$C$2:$C$21,,0)</f>
        <v>18164</v>
      </c>
      <c r="F62" s="4">
        <f t="shared" si="0"/>
        <v>54492</v>
      </c>
      <c r="G62" s="1">
        <f>_xlfn.XLOOKUP(D62,Products!$B$2:$B$21,Products!$A$2:$A$21,,0)</f>
        <v>10</v>
      </c>
    </row>
    <row r="63" spans="1:7" x14ac:dyDescent="0.3">
      <c r="A63" s="1">
        <v>5062</v>
      </c>
      <c r="B63" s="1">
        <v>12</v>
      </c>
      <c r="C63" s="4">
        <v>1</v>
      </c>
      <c r="D63" s="1" t="str">
        <f>_xlfn.XLOOKUP(B63,Products!$A$2:$A$21,Products!$B$2:$B$21,,0)</f>
        <v>AC</v>
      </c>
      <c r="E63" s="1">
        <f>_xlfn.XLOOKUP(D63,Products!$B$2:$B$21,Products!$C$2:$C$21,,0)</f>
        <v>32456</v>
      </c>
      <c r="F63" s="4">
        <f t="shared" si="0"/>
        <v>32456</v>
      </c>
      <c r="G63" s="1">
        <f>_xlfn.XLOOKUP(D63,Products!$B$2:$B$21,Products!$A$2:$A$21,,0)</f>
        <v>12</v>
      </c>
    </row>
    <row r="64" spans="1:7" x14ac:dyDescent="0.3">
      <c r="A64" s="1">
        <v>5063</v>
      </c>
      <c r="B64" s="1">
        <v>3</v>
      </c>
      <c r="C64" s="4">
        <v>4</v>
      </c>
      <c r="D64" s="1" t="str">
        <f>_xlfn.XLOOKUP(B64,Products!$A$2:$A$21,Products!$B$2:$B$21,,0)</f>
        <v>Keyboard</v>
      </c>
      <c r="E64" s="1">
        <f>_xlfn.XLOOKUP(D64,Products!$B$2:$B$21,Products!$C$2:$C$21,,0)</f>
        <v>26587</v>
      </c>
      <c r="F64" s="4">
        <f t="shared" si="0"/>
        <v>106348</v>
      </c>
      <c r="G64" s="1">
        <f>_xlfn.XLOOKUP(D64,Products!$B$2:$B$21,Products!$A$2:$A$21,,0)</f>
        <v>3</v>
      </c>
    </row>
    <row r="65" spans="1:7" x14ac:dyDescent="0.3">
      <c r="A65" s="1">
        <v>5064</v>
      </c>
      <c r="B65" s="1">
        <v>1</v>
      </c>
      <c r="C65" s="4">
        <v>3</v>
      </c>
      <c r="D65" s="1" t="str">
        <f>_xlfn.XLOOKUP(B65,Products!$A$2:$A$21,Products!$B$2:$B$21,,0)</f>
        <v>Laptop</v>
      </c>
      <c r="E65" s="1">
        <f>_xlfn.XLOOKUP(D65,Products!$B$2:$B$21,Products!$C$2:$C$21,,0)</f>
        <v>34130</v>
      </c>
      <c r="F65" s="4">
        <f t="shared" si="0"/>
        <v>102390</v>
      </c>
      <c r="G65" s="1">
        <f>_xlfn.XLOOKUP(D65,Products!$B$2:$B$21,Products!$A$2:$A$21,,0)</f>
        <v>1</v>
      </c>
    </row>
    <row r="66" spans="1:7" x14ac:dyDescent="0.3">
      <c r="A66" s="1">
        <v>5065</v>
      </c>
      <c r="B66" s="1">
        <v>11</v>
      </c>
      <c r="C66" s="4">
        <v>3</v>
      </c>
      <c r="D66" s="1" t="str">
        <f>_xlfn.XLOOKUP(B66,Products!$A$2:$A$21,Products!$B$2:$B$21,,0)</f>
        <v>Fan</v>
      </c>
      <c r="E66" s="1">
        <f>_xlfn.XLOOKUP(D66,Products!$B$2:$B$21,Products!$C$2:$C$21,,0)</f>
        <v>45046</v>
      </c>
      <c r="F66" s="4">
        <f t="shared" si="0"/>
        <v>135138</v>
      </c>
      <c r="G66" s="1">
        <f>_xlfn.XLOOKUP(D66,Products!$B$2:$B$21,Products!$A$2:$A$21,,0)</f>
        <v>11</v>
      </c>
    </row>
    <row r="67" spans="1:7" x14ac:dyDescent="0.3">
      <c r="A67" s="1">
        <v>5066</v>
      </c>
      <c r="B67" s="1">
        <v>16</v>
      </c>
      <c r="C67" s="4">
        <v>3</v>
      </c>
      <c r="D67" s="1" t="str">
        <f>_xlfn.XLOOKUP(B67,Products!$A$2:$A$21,Products!$B$2:$B$21,,0)</f>
        <v>Watch</v>
      </c>
      <c r="E67" s="1">
        <f>_xlfn.XLOOKUP(D67,Products!$B$2:$B$21,Products!$C$2:$C$21,,0)</f>
        <v>21553</v>
      </c>
      <c r="F67" s="4">
        <f t="shared" ref="F67:F130" si="1">C67*E67</f>
        <v>64659</v>
      </c>
      <c r="G67" s="1">
        <f>_xlfn.XLOOKUP(D67,Products!$B$2:$B$21,Products!$A$2:$A$21,,0)</f>
        <v>16</v>
      </c>
    </row>
    <row r="68" spans="1:7" x14ac:dyDescent="0.3">
      <c r="A68" s="1">
        <v>5067</v>
      </c>
      <c r="B68" s="1">
        <v>16</v>
      </c>
      <c r="C68" s="4">
        <v>4</v>
      </c>
      <c r="D68" s="1" t="str">
        <f>_xlfn.XLOOKUP(B68,Products!$A$2:$A$21,Products!$B$2:$B$21,,0)</f>
        <v>Watch</v>
      </c>
      <c r="E68" s="1">
        <f>_xlfn.XLOOKUP(D68,Products!$B$2:$B$21,Products!$C$2:$C$21,,0)</f>
        <v>21553</v>
      </c>
      <c r="F68" s="4">
        <f t="shared" si="1"/>
        <v>86212</v>
      </c>
      <c r="G68" s="1">
        <f>_xlfn.XLOOKUP(D68,Products!$B$2:$B$21,Products!$A$2:$A$21,,0)</f>
        <v>16</v>
      </c>
    </row>
    <row r="69" spans="1:7" x14ac:dyDescent="0.3">
      <c r="A69" s="1">
        <v>5068</v>
      </c>
      <c r="B69" s="1">
        <v>16</v>
      </c>
      <c r="C69" s="4">
        <v>4</v>
      </c>
      <c r="D69" s="1" t="str">
        <f>_xlfn.XLOOKUP(B69,Products!$A$2:$A$21,Products!$B$2:$B$21,,0)</f>
        <v>Watch</v>
      </c>
      <c r="E69" s="1">
        <f>_xlfn.XLOOKUP(D69,Products!$B$2:$B$21,Products!$C$2:$C$21,,0)</f>
        <v>21553</v>
      </c>
      <c r="F69" s="4">
        <f t="shared" si="1"/>
        <v>86212</v>
      </c>
      <c r="G69" s="1">
        <f>_xlfn.XLOOKUP(D69,Products!$B$2:$B$21,Products!$A$2:$A$21,,0)</f>
        <v>16</v>
      </c>
    </row>
    <row r="70" spans="1:7" x14ac:dyDescent="0.3">
      <c r="A70" s="1">
        <v>5069</v>
      </c>
      <c r="B70" s="1">
        <v>8</v>
      </c>
      <c r="C70" s="4">
        <v>2</v>
      </c>
      <c r="D70" s="1" t="str">
        <f>_xlfn.XLOOKUP(B70,Products!$A$2:$A$21,Products!$B$2:$B$21,,0)</f>
        <v>Printer</v>
      </c>
      <c r="E70" s="1">
        <f>_xlfn.XLOOKUP(D70,Products!$B$2:$B$21,Products!$C$2:$C$21,,0)</f>
        <v>31589</v>
      </c>
      <c r="F70" s="4">
        <f t="shared" si="1"/>
        <v>63178</v>
      </c>
      <c r="G70" s="1">
        <f>_xlfn.XLOOKUP(D70,Products!$B$2:$B$21,Products!$A$2:$A$21,,0)</f>
        <v>8</v>
      </c>
    </row>
    <row r="71" spans="1:7" x14ac:dyDescent="0.3">
      <c r="A71" s="1">
        <v>5070</v>
      </c>
      <c r="B71" s="1">
        <v>15</v>
      </c>
      <c r="C71" s="4">
        <v>2</v>
      </c>
      <c r="D71" s="1" t="str">
        <f>_xlfn.XLOOKUP(B71,Products!$A$2:$A$21,Products!$B$2:$B$21,,0)</f>
        <v>Bag</v>
      </c>
      <c r="E71" s="1">
        <f>_xlfn.XLOOKUP(D71,Products!$B$2:$B$21,Products!$C$2:$C$21,,0)</f>
        <v>12567</v>
      </c>
      <c r="F71" s="4">
        <f t="shared" si="1"/>
        <v>25134</v>
      </c>
      <c r="G71" s="1">
        <f>_xlfn.XLOOKUP(D71,Products!$B$2:$B$21,Products!$A$2:$A$21,,0)</f>
        <v>15</v>
      </c>
    </row>
    <row r="72" spans="1:7" x14ac:dyDescent="0.3">
      <c r="A72" s="1">
        <v>5071</v>
      </c>
      <c r="B72" s="1">
        <v>9</v>
      </c>
      <c r="C72" s="4">
        <v>5</v>
      </c>
      <c r="D72" s="1" t="str">
        <f>_xlfn.XLOOKUP(B72,Products!$A$2:$A$21,Products!$B$2:$B$21,,0)</f>
        <v>Desk</v>
      </c>
      <c r="E72" s="1">
        <f>_xlfn.XLOOKUP(D72,Products!$B$2:$B$21,Products!$C$2:$C$21,,0)</f>
        <v>15870</v>
      </c>
      <c r="F72" s="4">
        <f t="shared" si="1"/>
        <v>79350</v>
      </c>
      <c r="G72" s="1">
        <f>_xlfn.XLOOKUP(D72,Products!$B$2:$B$21,Products!$A$2:$A$21,,0)</f>
        <v>9</v>
      </c>
    </row>
    <row r="73" spans="1:7" x14ac:dyDescent="0.3">
      <c r="A73" s="1">
        <v>5072</v>
      </c>
      <c r="B73" s="1">
        <v>9</v>
      </c>
      <c r="C73" s="4">
        <v>1</v>
      </c>
      <c r="D73" s="1" t="str">
        <f>_xlfn.XLOOKUP(B73,Products!$A$2:$A$21,Products!$B$2:$B$21,,0)</f>
        <v>Desk</v>
      </c>
      <c r="E73" s="1">
        <f>_xlfn.XLOOKUP(D73,Products!$B$2:$B$21,Products!$C$2:$C$21,,0)</f>
        <v>15870</v>
      </c>
      <c r="F73" s="4">
        <f t="shared" si="1"/>
        <v>15870</v>
      </c>
      <c r="G73" s="1">
        <f>_xlfn.XLOOKUP(D73,Products!$B$2:$B$21,Products!$A$2:$A$21,,0)</f>
        <v>9</v>
      </c>
    </row>
    <row r="74" spans="1:7" x14ac:dyDescent="0.3">
      <c r="A74" s="1">
        <v>5073</v>
      </c>
      <c r="B74" s="1">
        <v>19</v>
      </c>
      <c r="C74" s="4">
        <v>1</v>
      </c>
      <c r="D74" s="1" t="str">
        <f>_xlfn.XLOOKUP(B74,Products!$A$2:$A$21,Products!$B$2:$B$21,,0)</f>
        <v>Router</v>
      </c>
      <c r="E74" s="1">
        <f>_xlfn.XLOOKUP(D74,Products!$B$2:$B$21,Products!$C$2:$C$21,,0)</f>
        <v>37165</v>
      </c>
      <c r="F74" s="4">
        <f t="shared" si="1"/>
        <v>37165</v>
      </c>
      <c r="G74" s="1">
        <f>_xlfn.XLOOKUP(D74,Products!$B$2:$B$21,Products!$A$2:$A$21,,0)</f>
        <v>19</v>
      </c>
    </row>
    <row r="75" spans="1:7" x14ac:dyDescent="0.3">
      <c r="A75" s="1">
        <v>5074</v>
      </c>
      <c r="B75" s="1">
        <v>19</v>
      </c>
      <c r="C75" s="4">
        <v>1</v>
      </c>
      <c r="D75" s="1" t="str">
        <f>_xlfn.XLOOKUP(B75,Products!$A$2:$A$21,Products!$B$2:$B$21,,0)</f>
        <v>Router</v>
      </c>
      <c r="E75" s="1">
        <f>_xlfn.XLOOKUP(D75,Products!$B$2:$B$21,Products!$C$2:$C$21,,0)</f>
        <v>37165</v>
      </c>
      <c r="F75" s="4">
        <f t="shared" si="1"/>
        <v>37165</v>
      </c>
      <c r="G75" s="1">
        <f>_xlfn.XLOOKUP(D75,Products!$B$2:$B$21,Products!$A$2:$A$21,,0)</f>
        <v>19</v>
      </c>
    </row>
    <row r="76" spans="1:7" x14ac:dyDescent="0.3">
      <c r="A76" s="1">
        <v>5075</v>
      </c>
      <c r="B76" s="1">
        <v>20</v>
      </c>
      <c r="C76" s="4">
        <v>3</v>
      </c>
      <c r="D76" s="1" t="str">
        <f>_xlfn.XLOOKUP(B76,Products!$A$2:$A$21,Products!$B$2:$B$21,,0)</f>
        <v>SSD</v>
      </c>
      <c r="E76" s="1">
        <f>_xlfn.XLOOKUP(D76,Products!$B$2:$B$21,Products!$C$2:$C$21,,0)</f>
        <v>10724</v>
      </c>
      <c r="F76" s="4">
        <f t="shared" si="1"/>
        <v>32172</v>
      </c>
      <c r="G76" s="1">
        <f>_xlfn.XLOOKUP(D76,Products!$B$2:$B$21,Products!$A$2:$A$21,,0)</f>
        <v>20</v>
      </c>
    </row>
    <row r="77" spans="1:7" x14ac:dyDescent="0.3">
      <c r="A77" s="1">
        <v>5076</v>
      </c>
      <c r="B77" s="1">
        <v>12</v>
      </c>
      <c r="C77" s="4">
        <v>3</v>
      </c>
      <c r="D77" s="1" t="str">
        <f>_xlfn.XLOOKUP(B77,Products!$A$2:$A$21,Products!$B$2:$B$21,,0)</f>
        <v>AC</v>
      </c>
      <c r="E77" s="1">
        <f>_xlfn.XLOOKUP(D77,Products!$B$2:$B$21,Products!$C$2:$C$21,,0)</f>
        <v>32456</v>
      </c>
      <c r="F77" s="4">
        <f t="shared" si="1"/>
        <v>97368</v>
      </c>
      <c r="G77" s="1">
        <f>_xlfn.XLOOKUP(D77,Products!$B$2:$B$21,Products!$A$2:$A$21,,0)</f>
        <v>12</v>
      </c>
    </row>
    <row r="78" spans="1:7" x14ac:dyDescent="0.3">
      <c r="A78" s="1">
        <v>5077</v>
      </c>
      <c r="B78" s="1">
        <v>12</v>
      </c>
      <c r="C78" s="4">
        <v>4</v>
      </c>
      <c r="D78" s="1" t="str">
        <f>_xlfn.XLOOKUP(B78,Products!$A$2:$A$21,Products!$B$2:$B$21,,0)</f>
        <v>AC</v>
      </c>
      <c r="E78" s="1">
        <f>_xlfn.XLOOKUP(D78,Products!$B$2:$B$21,Products!$C$2:$C$21,,0)</f>
        <v>32456</v>
      </c>
      <c r="F78" s="4">
        <f t="shared" si="1"/>
        <v>129824</v>
      </c>
      <c r="G78" s="1">
        <f>_xlfn.XLOOKUP(D78,Products!$B$2:$B$21,Products!$A$2:$A$21,,0)</f>
        <v>12</v>
      </c>
    </row>
    <row r="79" spans="1:7" x14ac:dyDescent="0.3">
      <c r="A79" s="1">
        <v>5078</v>
      </c>
      <c r="B79" s="1">
        <v>3</v>
      </c>
      <c r="C79" s="4">
        <v>4</v>
      </c>
      <c r="D79" s="1" t="str">
        <f>_xlfn.XLOOKUP(B79,Products!$A$2:$A$21,Products!$B$2:$B$21,,0)</f>
        <v>Keyboard</v>
      </c>
      <c r="E79" s="1">
        <f>_xlfn.XLOOKUP(D79,Products!$B$2:$B$21,Products!$C$2:$C$21,,0)</f>
        <v>26587</v>
      </c>
      <c r="F79" s="4">
        <f t="shared" si="1"/>
        <v>106348</v>
      </c>
      <c r="G79" s="1">
        <f>_xlfn.XLOOKUP(D79,Products!$B$2:$B$21,Products!$A$2:$A$21,,0)</f>
        <v>3</v>
      </c>
    </row>
    <row r="80" spans="1:7" x14ac:dyDescent="0.3">
      <c r="A80" s="1">
        <v>5079</v>
      </c>
      <c r="B80" s="1">
        <v>14</v>
      </c>
      <c r="C80" s="4">
        <v>2</v>
      </c>
      <c r="D80" s="1" t="str">
        <f>_xlfn.XLOOKUP(B80,Products!$A$2:$A$21,Products!$B$2:$B$21,,0)</f>
        <v>Book</v>
      </c>
      <c r="E80" s="1">
        <f>_xlfn.XLOOKUP(D80,Products!$B$2:$B$21,Products!$C$2:$C$21,,0)</f>
        <v>23213</v>
      </c>
      <c r="F80" s="4">
        <f t="shared" si="1"/>
        <v>46426</v>
      </c>
      <c r="G80" s="1">
        <f>_xlfn.XLOOKUP(D80,Products!$B$2:$B$21,Products!$A$2:$A$21,,0)</f>
        <v>14</v>
      </c>
    </row>
    <row r="81" spans="1:7" x14ac:dyDescent="0.3">
      <c r="A81" s="1">
        <v>5080</v>
      </c>
      <c r="B81" s="1">
        <v>7</v>
      </c>
      <c r="C81" s="4">
        <v>2</v>
      </c>
      <c r="D81" s="1" t="str">
        <f>_xlfn.XLOOKUP(B81,Products!$A$2:$A$21,Products!$B$2:$B$21,,0)</f>
        <v>Camera</v>
      </c>
      <c r="E81" s="1">
        <f>_xlfn.XLOOKUP(D81,Products!$B$2:$B$21,Products!$C$2:$C$21,,0)</f>
        <v>34857</v>
      </c>
      <c r="F81" s="4">
        <f t="shared" si="1"/>
        <v>69714</v>
      </c>
      <c r="G81" s="1">
        <f>_xlfn.XLOOKUP(D81,Products!$B$2:$B$21,Products!$A$2:$A$21,,0)</f>
        <v>7</v>
      </c>
    </row>
    <row r="82" spans="1:7" x14ac:dyDescent="0.3">
      <c r="A82" s="1">
        <v>5081</v>
      </c>
      <c r="B82" s="1">
        <v>7</v>
      </c>
      <c r="C82" s="4">
        <v>1</v>
      </c>
      <c r="D82" s="1" t="str">
        <f>_xlfn.XLOOKUP(B82,Products!$A$2:$A$21,Products!$B$2:$B$21,,0)</f>
        <v>Camera</v>
      </c>
      <c r="E82" s="1">
        <f>_xlfn.XLOOKUP(D82,Products!$B$2:$B$21,Products!$C$2:$C$21,,0)</f>
        <v>34857</v>
      </c>
      <c r="F82" s="4">
        <f t="shared" si="1"/>
        <v>34857</v>
      </c>
      <c r="G82" s="1">
        <f>_xlfn.XLOOKUP(D82,Products!$B$2:$B$21,Products!$A$2:$A$21,,0)</f>
        <v>7</v>
      </c>
    </row>
    <row r="83" spans="1:7" x14ac:dyDescent="0.3">
      <c r="A83" s="1">
        <v>5082</v>
      </c>
      <c r="B83" s="1">
        <v>11</v>
      </c>
      <c r="C83" s="4">
        <v>4</v>
      </c>
      <c r="D83" s="1" t="str">
        <f>_xlfn.XLOOKUP(B83,Products!$A$2:$A$21,Products!$B$2:$B$21,,0)</f>
        <v>Fan</v>
      </c>
      <c r="E83" s="1">
        <f>_xlfn.XLOOKUP(D83,Products!$B$2:$B$21,Products!$C$2:$C$21,,0)</f>
        <v>45046</v>
      </c>
      <c r="F83" s="4">
        <f t="shared" si="1"/>
        <v>180184</v>
      </c>
      <c r="G83" s="1">
        <f>_xlfn.XLOOKUP(D83,Products!$B$2:$B$21,Products!$A$2:$A$21,,0)</f>
        <v>11</v>
      </c>
    </row>
    <row r="84" spans="1:7" x14ac:dyDescent="0.3">
      <c r="A84" s="1">
        <v>5083</v>
      </c>
      <c r="B84" s="1">
        <v>1</v>
      </c>
      <c r="C84" s="4">
        <v>5</v>
      </c>
      <c r="D84" s="1" t="str">
        <f>_xlfn.XLOOKUP(B84,Products!$A$2:$A$21,Products!$B$2:$B$21,,0)</f>
        <v>Laptop</v>
      </c>
      <c r="E84" s="1">
        <f>_xlfn.XLOOKUP(D84,Products!$B$2:$B$21,Products!$C$2:$C$21,,0)</f>
        <v>34130</v>
      </c>
      <c r="F84" s="4">
        <f t="shared" si="1"/>
        <v>170650</v>
      </c>
      <c r="G84" s="1">
        <f>_xlfn.XLOOKUP(D84,Products!$B$2:$B$21,Products!$A$2:$A$21,,0)</f>
        <v>1</v>
      </c>
    </row>
    <row r="85" spans="1:7" x14ac:dyDescent="0.3">
      <c r="A85" s="1">
        <v>5084</v>
      </c>
      <c r="B85" s="1">
        <v>10</v>
      </c>
      <c r="C85" s="4">
        <v>2</v>
      </c>
      <c r="D85" s="1" t="str">
        <f>_xlfn.XLOOKUP(B85,Products!$A$2:$A$21,Products!$B$2:$B$21,,0)</f>
        <v>Chair</v>
      </c>
      <c r="E85" s="1">
        <f>_xlfn.XLOOKUP(D85,Products!$B$2:$B$21,Products!$C$2:$C$21,,0)</f>
        <v>18164</v>
      </c>
      <c r="F85" s="4">
        <f t="shared" si="1"/>
        <v>36328</v>
      </c>
      <c r="G85" s="1">
        <f>_xlfn.XLOOKUP(D85,Products!$B$2:$B$21,Products!$A$2:$A$21,,0)</f>
        <v>10</v>
      </c>
    </row>
    <row r="86" spans="1:7" x14ac:dyDescent="0.3">
      <c r="A86" s="1">
        <v>5085</v>
      </c>
      <c r="B86" s="1">
        <v>18</v>
      </c>
      <c r="C86" s="4">
        <v>5</v>
      </c>
      <c r="D86" s="1" t="str">
        <f>_xlfn.XLOOKUP(B86,Products!$A$2:$A$21,Products!$B$2:$B$21,,0)</f>
        <v>Speaker</v>
      </c>
      <c r="E86" s="1">
        <f>_xlfn.XLOOKUP(D86,Products!$B$2:$B$21,Products!$C$2:$C$21,,0)</f>
        <v>28829</v>
      </c>
      <c r="F86" s="4">
        <f t="shared" si="1"/>
        <v>144145</v>
      </c>
      <c r="G86" s="1">
        <f>_xlfn.XLOOKUP(D86,Products!$B$2:$B$21,Products!$A$2:$A$21,,0)</f>
        <v>18</v>
      </c>
    </row>
    <row r="87" spans="1:7" x14ac:dyDescent="0.3">
      <c r="A87" s="1">
        <v>5086</v>
      </c>
      <c r="B87" s="1">
        <v>16</v>
      </c>
      <c r="C87" s="4">
        <v>4</v>
      </c>
      <c r="D87" s="1" t="str">
        <f>_xlfn.XLOOKUP(B87,Products!$A$2:$A$21,Products!$B$2:$B$21,,0)</f>
        <v>Watch</v>
      </c>
      <c r="E87" s="1">
        <f>_xlfn.XLOOKUP(D87,Products!$B$2:$B$21,Products!$C$2:$C$21,,0)</f>
        <v>21553</v>
      </c>
      <c r="F87" s="4">
        <f t="shared" si="1"/>
        <v>86212</v>
      </c>
      <c r="G87" s="1">
        <f>_xlfn.XLOOKUP(D87,Products!$B$2:$B$21,Products!$A$2:$A$21,,0)</f>
        <v>16</v>
      </c>
    </row>
    <row r="88" spans="1:7" x14ac:dyDescent="0.3">
      <c r="A88" s="1">
        <v>5087</v>
      </c>
      <c r="B88" s="1">
        <v>12</v>
      </c>
      <c r="C88" s="4">
        <v>1</v>
      </c>
      <c r="D88" s="1" t="str">
        <f>_xlfn.XLOOKUP(B88,Products!$A$2:$A$21,Products!$B$2:$B$21,,0)</f>
        <v>AC</v>
      </c>
      <c r="E88" s="1">
        <f>_xlfn.XLOOKUP(D88,Products!$B$2:$B$21,Products!$C$2:$C$21,,0)</f>
        <v>32456</v>
      </c>
      <c r="F88" s="4">
        <f t="shared" si="1"/>
        <v>32456</v>
      </c>
      <c r="G88" s="1">
        <f>_xlfn.XLOOKUP(D88,Products!$B$2:$B$21,Products!$A$2:$A$21,,0)</f>
        <v>12</v>
      </c>
    </row>
    <row r="89" spans="1:7" x14ac:dyDescent="0.3">
      <c r="A89" s="1">
        <v>5088</v>
      </c>
      <c r="B89" s="1">
        <v>7</v>
      </c>
      <c r="C89" s="4">
        <v>1</v>
      </c>
      <c r="D89" s="1" t="str">
        <f>_xlfn.XLOOKUP(B89,Products!$A$2:$A$21,Products!$B$2:$B$21,,0)</f>
        <v>Camera</v>
      </c>
      <c r="E89" s="1">
        <f>_xlfn.XLOOKUP(D89,Products!$B$2:$B$21,Products!$C$2:$C$21,,0)</f>
        <v>34857</v>
      </c>
      <c r="F89" s="4">
        <f t="shared" si="1"/>
        <v>34857</v>
      </c>
      <c r="G89" s="1">
        <f>_xlfn.XLOOKUP(D89,Products!$B$2:$B$21,Products!$A$2:$A$21,,0)</f>
        <v>7</v>
      </c>
    </row>
    <row r="90" spans="1:7" x14ac:dyDescent="0.3">
      <c r="A90" s="1">
        <v>5089</v>
      </c>
      <c r="B90" s="1">
        <v>17</v>
      </c>
      <c r="C90" s="4">
        <v>5</v>
      </c>
      <c r="D90" s="1" t="str">
        <f>_xlfn.XLOOKUP(B90,Products!$A$2:$A$21,Products!$B$2:$B$21,,0)</f>
        <v>TV</v>
      </c>
      <c r="E90" s="1">
        <f>_xlfn.XLOOKUP(D90,Products!$B$2:$B$21,Products!$C$2:$C$21,,0)</f>
        <v>25434</v>
      </c>
      <c r="F90" s="4">
        <f t="shared" si="1"/>
        <v>127170</v>
      </c>
      <c r="G90" s="1">
        <f>_xlfn.XLOOKUP(D90,Products!$B$2:$B$21,Products!$A$2:$A$21,,0)</f>
        <v>17</v>
      </c>
    </row>
    <row r="91" spans="1:7" x14ac:dyDescent="0.3">
      <c r="A91" s="1">
        <v>5090</v>
      </c>
      <c r="B91" s="1">
        <v>18</v>
      </c>
      <c r="C91" s="4">
        <v>1</v>
      </c>
      <c r="D91" s="1" t="str">
        <f>_xlfn.XLOOKUP(B91,Products!$A$2:$A$21,Products!$B$2:$B$21,,0)</f>
        <v>Speaker</v>
      </c>
      <c r="E91" s="1">
        <f>_xlfn.XLOOKUP(D91,Products!$B$2:$B$21,Products!$C$2:$C$21,,0)</f>
        <v>28829</v>
      </c>
      <c r="F91" s="4">
        <f t="shared" si="1"/>
        <v>28829</v>
      </c>
      <c r="G91" s="1">
        <f>_xlfn.XLOOKUP(D91,Products!$B$2:$B$21,Products!$A$2:$A$21,,0)</f>
        <v>18</v>
      </c>
    </row>
    <row r="92" spans="1:7" x14ac:dyDescent="0.3">
      <c r="A92" s="1">
        <v>5091</v>
      </c>
      <c r="B92" s="1">
        <v>6</v>
      </c>
      <c r="C92" s="4">
        <v>4</v>
      </c>
      <c r="D92" s="1" t="str">
        <f>_xlfn.XLOOKUP(B92,Products!$A$2:$A$21,Products!$B$2:$B$21,,0)</f>
        <v>Phone</v>
      </c>
      <c r="E92" s="1">
        <f>_xlfn.XLOOKUP(D92,Products!$B$2:$B$21,Products!$C$2:$C$21,,0)</f>
        <v>10250</v>
      </c>
      <c r="F92" s="4">
        <f t="shared" si="1"/>
        <v>41000</v>
      </c>
      <c r="G92" s="1">
        <f>_xlfn.XLOOKUP(D92,Products!$B$2:$B$21,Products!$A$2:$A$21,,0)</f>
        <v>6</v>
      </c>
    </row>
    <row r="93" spans="1:7" x14ac:dyDescent="0.3">
      <c r="A93" s="1">
        <v>5092</v>
      </c>
      <c r="B93" s="1">
        <v>8</v>
      </c>
      <c r="C93" s="4">
        <v>2</v>
      </c>
      <c r="D93" s="1" t="str">
        <f>_xlfn.XLOOKUP(B93,Products!$A$2:$A$21,Products!$B$2:$B$21,,0)</f>
        <v>Printer</v>
      </c>
      <c r="E93" s="1">
        <f>_xlfn.XLOOKUP(D93,Products!$B$2:$B$21,Products!$C$2:$C$21,,0)</f>
        <v>31589</v>
      </c>
      <c r="F93" s="4">
        <f t="shared" si="1"/>
        <v>63178</v>
      </c>
      <c r="G93" s="1">
        <f>_xlfn.XLOOKUP(D93,Products!$B$2:$B$21,Products!$A$2:$A$21,,0)</f>
        <v>8</v>
      </c>
    </row>
    <row r="94" spans="1:7" x14ac:dyDescent="0.3">
      <c r="A94" s="1">
        <v>5093</v>
      </c>
      <c r="B94" s="1">
        <v>14</v>
      </c>
      <c r="C94" s="4">
        <v>1</v>
      </c>
      <c r="D94" s="1" t="str">
        <f>_xlfn.XLOOKUP(B94,Products!$A$2:$A$21,Products!$B$2:$B$21,,0)</f>
        <v>Book</v>
      </c>
      <c r="E94" s="1">
        <f>_xlfn.XLOOKUP(D94,Products!$B$2:$B$21,Products!$C$2:$C$21,,0)</f>
        <v>23213</v>
      </c>
      <c r="F94" s="4">
        <f t="shared" si="1"/>
        <v>23213</v>
      </c>
      <c r="G94" s="1">
        <f>_xlfn.XLOOKUP(D94,Products!$B$2:$B$21,Products!$A$2:$A$21,,0)</f>
        <v>14</v>
      </c>
    </row>
    <row r="95" spans="1:7" x14ac:dyDescent="0.3">
      <c r="A95" s="1">
        <v>5094</v>
      </c>
      <c r="B95" s="1">
        <v>7</v>
      </c>
      <c r="C95" s="4">
        <v>4</v>
      </c>
      <c r="D95" s="1" t="str">
        <f>_xlfn.XLOOKUP(B95,Products!$A$2:$A$21,Products!$B$2:$B$21,,0)</f>
        <v>Camera</v>
      </c>
      <c r="E95" s="1">
        <f>_xlfn.XLOOKUP(D95,Products!$B$2:$B$21,Products!$C$2:$C$21,,0)</f>
        <v>34857</v>
      </c>
      <c r="F95" s="4">
        <f t="shared" si="1"/>
        <v>139428</v>
      </c>
      <c r="G95" s="1">
        <f>_xlfn.XLOOKUP(D95,Products!$B$2:$B$21,Products!$A$2:$A$21,,0)</f>
        <v>7</v>
      </c>
    </row>
    <row r="96" spans="1:7" x14ac:dyDescent="0.3">
      <c r="A96" s="1">
        <v>5095</v>
      </c>
      <c r="B96" s="1">
        <v>16</v>
      </c>
      <c r="C96" s="4">
        <v>1</v>
      </c>
      <c r="D96" s="1" t="str">
        <f>_xlfn.XLOOKUP(B96,Products!$A$2:$A$21,Products!$B$2:$B$21,,0)</f>
        <v>Watch</v>
      </c>
      <c r="E96" s="1">
        <f>_xlfn.XLOOKUP(D96,Products!$B$2:$B$21,Products!$C$2:$C$21,,0)</f>
        <v>21553</v>
      </c>
      <c r="F96" s="4">
        <f t="shared" si="1"/>
        <v>21553</v>
      </c>
      <c r="G96" s="1">
        <f>_xlfn.XLOOKUP(D96,Products!$B$2:$B$21,Products!$A$2:$A$21,,0)</f>
        <v>16</v>
      </c>
    </row>
    <row r="97" spans="1:7" x14ac:dyDescent="0.3">
      <c r="A97" s="1">
        <v>5096</v>
      </c>
      <c r="B97" s="1">
        <v>20</v>
      </c>
      <c r="C97" s="4">
        <v>1</v>
      </c>
      <c r="D97" s="1" t="str">
        <f>_xlfn.XLOOKUP(B97,Products!$A$2:$A$21,Products!$B$2:$B$21,,0)</f>
        <v>SSD</v>
      </c>
      <c r="E97" s="1">
        <f>_xlfn.XLOOKUP(D97,Products!$B$2:$B$21,Products!$C$2:$C$21,,0)</f>
        <v>10724</v>
      </c>
      <c r="F97" s="4">
        <f t="shared" si="1"/>
        <v>10724</v>
      </c>
      <c r="G97" s="1">
        <f>_xlfn.XLOOKUP(D97,Products!$B$2:$B$21,Products!$A$2:$A$21,,0)</f>
        <v>20</v>
      </c>
    </row>
    <row r="98" spans="1:7" x14ac:dyDescent="0.3">
      <c r="A98" s="1">
        <v>5097</v>
      </c>
      <c r="B98" s="1">
        <v>6</v>
      </c>
      <c r="C98" s="4">
        <v>3</v>
      </c>
      <c r="D98" s="1" t="str">
        <f>_xlfn.XLOOKUP(B98,Products!$A$2:$A$21,Products!$B$2:$B$21,,0)</f>
        <v>Phone</v>
      </c>
      <c r="E98" s="1">
        <f>_xlfn.XLOOKUP(D98,Products!$B$2:$B$21,Products!$C$2:$C$21,,0)</f>
        <v>10250</v>
      </c>
      <c r="F98" s="4">
        <f t="shared" si="1"/>
        <v>30750</v>
      </c>
      <c r="G98" s="1">
        <f>_xlfn.XLOOKUP(D98,Products!$B$2:$B$21,Products!$A$2:$A$21,,0)</f>
        <v>6</v>
      </c>
    </row>
    <row r="99" spans="1:7" x14ac:dyDescent="0.3">
      <c r="A99" s="1">
        <v>5098</v>
      </c>
      <c r="B99" s="1">
        <v>14</v>
      </c>
      <c r="C99" s="4">
        <v>4</v>
      </c>
      <c r="D99" s="1" t="str">
        <f>_xlfn.XLOOKUP(B99,Products!$A$2:$A$21,Products!$B$2:$B$21,,0)</f>
        <v>Book</v>
      </c>
      <c r="E99" s="1">
        <f>_xlfn.XLOOKUP(D99,Products!$B$2:$B$21,Products!$C$2:$C$21,,0)</f>
        <v>23213</v>
      </c>
      <c r="F99" s="4">
        <f t="shared" si="1"/>
        <v>92852</v>
      </c>
      <c r="G99" s="1">
        <f>_xlfn.XLOOKUP(D99,Products!$B$2:$B$21,Products!$A$2:$A$21,,0)</f>
        <v>14</v>
      </c>
    </row>
    <row r="100" spans="1:7" x14ac:dyDescent="0.3">
      <c r="A100" s="1">
        <v>5099</v>
      </c>
      <c r="B100" s="1">
        <v>2</v>
      </c>
      <c r="C100" s="4">
        <v>3</v>
      </c>
      <c r="D100" s="1" t="str">
        <f>_xlfn.XLOOKUP(B100,Products!$A$2:$A$21,Products!$B$2:$B$21,,0)</f>
        <v>Mouse</v>
      </c>
      <c r="E100" s="1">
        <f>_xlfn.XLOOKUP(D100,Products!$B$2:$B$21,Products!$C$2:$C$21,,0)</f>
        <v>40685</v>
      </c>
      <c r="F100" s="4">
        <f t="shared" si="1"/>
        <v>122055</v>
      </c>
      <c r="G100" s="1">
        <f>_xlfn.XLOOKUP(D100,Products!$B$2:$B$21,Products!$A$2:$A$21,,0)</f>
        <v>2</v>
      </c>
    </row>
    <row r="101" spans="1:7" x14ac:dyDescent="0.3">
      <c r="A101" s="1">
        <v>5100</v>
      </c>
      <c r="B101" s="1">
        <v>16</v>
      </c>
      <c r="C101" s="4">
        <v>2</v>
      </c>
      <c r="D101" s="1" t="str">
        <f>_xlfn.XLOOKUP(B101,Products!$A$2:$A$21,Products!$B$2:$B$21,,0)</f>
        <v>Watch</v>
      </c>
      <c r="E101" s="1">
        <f>_xlfn.XLOOKUP(D101,Products!$B$2:$B$21,Products!$C$2:$C$21,,0)</f>
        <v>21553</v>
      </c>
      <c r="F101" s="4">
        <f t="shared" si="1"/>
        <v>43106</v>
      </c>
      <c r="G101" s="1">
        <f>_xlfn.XLOOKUP(D101,Products!$B$2:$B$21,Products!$A$2:$A$21,,0)</f>
        <v>16</v>
      </c>
    </row>
    <row r="102" spans="1:7" x14ac:dyDescent="0.3">
      <c r="A102" s="1">
        <v>5101</v>
      </c>
      <c r="B102" s="1">
        <v>4</v>
      </c>
      <c r="C102" s="4">
        <v>5</v>
      </c>
      <c r="D102" s="1" t="str">
        <f>_xlfn.XLOOKUP(B102,Products!$A$2:$A$21,Products!$B$2:$B$21,,0)</f>
        <v>Monitor</v>
      </c>
      <c r="E102" s="1">
        <f>_xlfn.XLOOKUP(D102,Products!$B$2:$B$21,Products!$C$2:$C$21,,0)</f>
        <v>30181</v>
      </c>
      <c r="F102" s="4">
        <f t="shared" si="1"/>
        <v>150905</v>
      </c>
      <c r="G102" s="1">
        <f>_xlfn.XLOOKUP(D102,Products!$B$2:$B$21,Products!$A$2:$A$21,,0)</f>
        <v>4</v>
      </c>
    </row>
    <row r="103" spans="1:7" x14ac:dyDescent="0.3">
      <c r="A103" s="1">
        <v>5102</v>
      </c>
      <c r="B103" s="1">
        <v>10</v>
      </c>
      <c r="C103" s="4">
        <v>3</v>
      </c>
      <c r="D103" s="1" t="str">
        <f>_xlfn.XLOOKUP(B103,Products!$A$2:$A$21,Products!$B$2:$B$21,,0)</f>
        <v>Chair</v>
      </c>
      <c r="E103" s="1">
        <f>_xlfn.XLOOKUP(D103,Products!$B$2:$B$21,Products!$C$2:$C$21,,0)</f>
        <v>18164</v>
      </c>
      <c r="F103" s="4">
        <f t="shared" si="1"/>
        <v>54492</v>
      </c>
      <c r="G103" s="1">
        <f>_xlfn.XLOOKUP(D103,Products!$B$2:$B$21,Products!$A$2:$A$21,,0)</f>
        <v>10</v>
      </c>
    </row>
    <row r="104" spans="1:7" x14ac:dyDescent="0.3">
      <c r="A104" s="1">
        <v>5103</v>
      </c>
      <c r="B104" s="1">
        <v>2</v>
      </c>
      <c r="C104" s="4">
        <v>3</v>
      </c>
      <c r="D104" s="1" t="str">
        <f>_xlfn.XLOOKUP(B104,Products!$A$2:$A$21,Products!$B$2:$B$21,,0)</f>
        <v>Mouse</v>
      </c>
      <c r="E104" s="1">
        <f>_xlfn.XLOOKUP(D104,Products!$B$2:$B$21,Products!$C$2:$C$21,,0)</f>
        <v>40685</v>
      </c>
      <c r="F104" s="4">
        <f t="shared" si="1"/>
        <v>122055</v>
      </c>
      <c r="G104" s="1">
        <f>_xlfn.XLOOKUP(D104,Products!$B$2:$B$21,Products!$A$2:$A$21,,0)</f>
        <v>2</v>
      </c>
    </row>
    <row r="105" spans="1:7" x14ac:dyDescent="0.3">
      <c r="A105" s="1">
        <v>5104</v>
      </c>
      <c r="B105" s="1">
        <v>16</v>
      </c>
      <c r="C105" s="4">
        <v>5</v>
      </c>
      <c r="D105" s="1" t="str">
        <f>_xlfn.XLOOKUP(B105,Products!$A$2:$A$21,Products!$B$2:$B$21,,0)</f>
        <v>Watch</v>
      </c>
      <c r="E105" s="1">
        <f>_xlfn.XLOOKUP(D105,Products!$B$2:$B$21,Products!$C$2:$C$21,,0)</f>
        <v>21553</v>
      </c>
      <c r="F105" s="4">
        <f t="shared" si="1"/>
        <v>107765</v>
      </c>
      <c r="G105" s="1">
        <f>_xlfn.XLOOKUP(D105,Products!$B$2:$B$21,Products!$A$2:$A$21,,0)</f>
        <v>16</v>
      </c>
    </row>
    <row r="106" spans="1:7" x14ac:dyDescent="0.3">
      <c r="A106" s="1">
        <v>5105</v>
      </c>
      <c r="B106" s="1">
        <v>20</v>
      </c>
      <c r="C106" s="4">
        <v>2</v>
      </c>
      <c r="D106" s="1" t="str">
        <f>_xlfn.XLOOKUP(B106,Products!$A$2:$A$21,Products!$B$2:$B$21,,0)</f>
        <v>SSD</v>
      </c>
      <c r="E106" s="1">
        <f>_xlfn.XLOOKUP(D106,Products!$B$2:$B$21,Products!$C$2:$C$21,,0)</f>
        <v>10724</v>
      </c>
      <c r="F106" s="4">
        <f t="shared" si="1"/>
        <v>21448</v>
      </c>
      <c r="G106" s="1">
        <f>_xlfn.XLOOKUP(D106,Products!$B$2:$B$21,Products!$A$2:$A$21,,0)</f>
        <v>20</v>
      </c>
    </row>
    <row r="107" spans="1:7" x14ac:dyDescent="0.3">
      <c r="A107" s="1">
        <v>5106</v>
      </c>
      <c r="B107" s="1">
        <v>3</v>
      </c>
      <c r="C107" s="4">
        <v>3</v>
      </c>
      <c r="D107" s="1" t="str">
        <f>_xlfn.XLOOKUP(B107,Products!$A$2:$A$21,Products!$B$2:$B$21,,0)</f>
        <v>Keyboard</v>
      </c>
      <c r="E107" s="1">
        <f>_xlfn.XLOOKUP(D107,Products!$B$2:$B$21,Products!$C$2:$C$21,,0)</f>
        <v>26587</v>
      </c>
      <c r="F107" s="4">
        <f t="shared" si="1"/>
        <v>79761</v>
      </c>
      <c r="G107" s="1">
        <f>_xlfn.XLOOKUP(D107,Products!$B$2:$B$21,Products!$A$2:$A$21,,0)</f>
        <v>3</v>
      </c>
    </row>
    <row r="108" spans="1:7" x14ac:dyDescent="0.3">
      <c r="A108" s="1">
        <v>5107</v>
      </c>
      <c r="B108" s="1">
        <v>4</v>
      </c>
      <c r="C108" s="4">
        <v>1</v>
      </c>
      <c r="D108" s="1" t="str">
        <f>_xlfn.XLOOKUP(B108,Products!$A$2:$A$21,Products!$B$2:$B$21,,0)</f>
        <v>Monitor</v>
      </c>
      <c r="E108" s="1">
        <f>_xlfn.XLOOKUP(D108,Products!$B$2:$B$21,Products!$C$2:$C$21,,0)</f>
        <v>30181</v>
      </c>
      <c r="F108" s="4">
        <f t="shared" si="1"/>
        <v>30181</v>
      </c>
      <c r="G108" s="1">
        <f>_xlfn.XLOOKUP(D108,Products!$B$2:$B$21,Products!$A$2:$A$21,,0)</f>
        <v>4</v>
      </c>
    </row>
    <row r="109" spans="1:7" x14ac:dyDescent="0.3">
      <c r="A109" s="1">
        <v>5108</v>
      </c>
      <c r="B109" s="1">
        <v>12</v>
      </c>
      <c r="C109" s="4">
        <v>1</v>
      </c>
      <c r="D109" s="1" t="str">
        <f>_xlfn.XLOOKUP(B109,Products!$A$2:$A$21,Products!$B$2:$B$21,,0)</f>
        <v>AC</v>
      </c>
      <c r="E109" s="1">
        <f>_xlfn.XLOOKUP(D109,Products!$B$2:$B$21,Products!$C$2:$C$21,,0)</f>
        <v>32456</v>
      </c>
      <c r="F109" s="4">
        <f t="shared" si="1"/>
        <v>32456</v>
      </c>
      <c r="G109" s="1">
        <f>_xlfn.XLOOKUP(D109,Products!$B$2:$B$21,Products!$A$2:$A$21,,0)</f>
        <v>12</v>
      </c>
    </row>
    <row r="110" spans="1:7" x14ac:dyDescent="0.3">
      <c r="A110" s="1">
        <v>5109</v>
      </c>
      <c r="B110" s="1">
        <v>2</v>
      </c>
      <c r="C110" s="4">
        <v>3</v>
      </c>
      <c r="D110" s="1" t="str">
        <f>_xlfn.XLOOKUP(B110,Products!$A$2:$A$21,Products!$B$2:$B$21,,0)</f>
        <v>Mouse</v>
      </c>
      <c r="E110" s="1">
        <f>_xlfn.XLOOKUP(D110,Products!$B$2:$B$21,Products!$C$2:$C$21,,0)</f>
        <v>40685</v>
      </c>
      <c r="F110" s="4">
        <f t="shared" si="1"/>
        <v>122055</v>
      </c>
      <c r="G110" s="1">
        <f>_xlfn.XLOOKUP(D110,Products!$B$2:$B$21,Products!$A$2:$A$21,,0)</f>
        <v>2</v>
      </c>
    </row>
    <row r="111" spans="1:7" x14ac:dyDescent="0.3">
      <c r="A111" s="1">
        <v>5110</v>
      </c>
      <c r="B111" s="1">
        <v>4</v>
      </c>
      <c r="C111" s="4">
        <v>1</v>
      </c>
      <c r="D111" s="1" t="str">
        <f>_xlfn.XLOOKUP(B111,Products!$A$2:$A$21,Products!$B$2:$B$21,,0)</f>
        <v>Monitor</v>
      </c>
      <c r="E111" s="1">
        <f>_xlfn.XLOOKUP(D111,Products!$B$2:$B$21,Products!$C$2:$C$21,,0)</f>
        <v>30181</v>
      </c>
      <c r="F111" s="4">
        <f t="shared" si="1"/>
        <v>30181</v>
      </c>
      <c r="G111" s="1">
        <f>_xlfn.XLOOKUP(D111,Products!$B$2:$B$21,Products!$A$2:$A$21,,0)</f>
        <v>4</v>
      </c>
    </row>
    <row r="112" spans="1:7" x14ac:dyDescent="0.3">
      <c r="A112" s="1">
        <v>5111</v>
      </c>
      <c r="B112" s="1">
        <v>9</v>
      </c>
      <c r="C112" s="4">
        <v>2</v>
      </c>
      <c r="D112" s="1" t="str">
        <f>_xlfn.XLOOKUP(B112,Products!$A$2:$A$21,Products!$B$2:$B$21,,0)</f>
        <v>Desk</v>
      </c>
      <c r="E112" s="1">
        <f>_xlfn.XLOOKUP(D112,Products!$B$2:$B$21,Products!$C$2:$C$21,,0)</f>
        <v>15870</v>
      </c>
      <c r="F112" s="4">
        <f t="shared" si="1"/>
        <v>31740</v>
      </c>
      <c r="G112" s="1">
        <f>_xlfn.XLOOKUP(D112,Products!$B$2:$B$21,Products!$A$2:$A$21,,0)</f>
        <v>9</v>
      </c>
    </row>
    <row r="113" spans="1:7" x14ac:dyDescent="0.3">
      <c r="A113" s="1">
        <v>5112</v>
      </c>
      <c r="B113" s="1">
        <v>4</v>
      </c>
      <c r="C113" s="4">
        <v>1</v>
      </c>
      <c r="D113" s="1" t="str">
        <f>_xlfn.XLOOKUP(B113,Products!$A$2:$A$21,Products!$B$2:$B$21,,0)</f>
        <v>Monitor</v>
      </c>
      <c r="E113" s="1">
        <f>_xlfn.XLOOKUP(D113,Products!$B$2:$B$21,Products!$C$2:$C$21,,0)</f>
        <v>30181</v>
      </c>
      <c r="F113" s="4">
        <f t="shared" si="1"/>
        <v>30181</v>
      </c>
      <c r="G113" s="1">
        <f>_xlfn.XLOOKUP(D113,Products!$B$2:$B$21,Products!$A$2:$A$21,,0)</f>
        <v>4</v>
      </c>
    </row>
    <row r="114" spans="1:7" x14ac:dyDescent="0.3">
      <c r="A114" s="1">
        <v>5113</v>
      </c>
      <c r="B114" s="1">
        <v>9</v>
      </c>
      <c r="C114" s="4">
        <v>5</v>
      </c>
      <c r="D114" s="1" t="str">
        <f>_xlfn.XLOOKUP(B114,Products!$A$2:$A$21,Products!$B$2:$B$21,,0)</f>
        <v>Desk</v>
      </c>
      <c r="E114" s="1">
        <f>_xlfn.XLOOKUP(D114,Products!$B$2:$B$21,Products!$C$2:$C$21,,0)</f>
        <v>15870</v>
      </c>
      <c r="F114" s="4">
        <f t="shared" si="1"/>
        <v>79350</v>
      </c>
      <c r="G114" s="1">
        <f>_xlfn.XLOOKUP(D114,Products!$B$2:$B$21,Products!$A$2:$A$21,,0)</f>
        <v>9</v>
      </c>
    </row>
    <row r="115" spans="1:7" x14ac:dyDescent="0.3">
      <c r="A115" s="1">
        <v>5114</v>
      </c>
      <c r="B115" s="1">
        <v>16</v>
      </c>
      <c r="C115" s="4">
        <v>5</v>
      </c>
      <c r="D115" s="1" t="str">
        <f>_xlfn.XLOOKUP(B115,Products!$A$2:$A$21,Products!$B$2:$B$21,,0)</f>
        <v>Watch</v>
      </c>
      <c r="E115" s="1">
        <f>_xlfn.XLOOKUP(D115,Products!$B$2:$B$21,Products!$C$2:$C$21,,0)</f>
        <v>21553</v>
      </c>
      <c r="F115" s="4">
        <f t="shared" si="1"/>
        <v>107765</v>
      </c>
      <c r="G115" s="1">
        <f>_xlfn.XLOOKUP(D115,Products!$B$2:$B$21,Products!$A$2:$A$21,,0)</f>
        <v>16</v>
      </c>
    </row>
    <row r="116" spans="1:7" x14ac:dyDescent="0.3">
      <c r="A116" s="1">
        <v>5115</v>
      </c>
      <c r="B116" s="1">
        <v>5</v>
      </c>
      <c r="C116" s="4">
        <v>4</v>
      </c>
      <c r="D116" s="1" t="str">
        <f>_xlfn.XLOOKUP(B116,Products!$A$2:$A$21,Products!$B$2:$B$21,,0)</f>
        <v>Tablet</v>
      </c>
      <c r="E116" s="1">
        <f>_xlfn.XLOOKUP(D116,Products!$B$2:$B$21,Products!$C$2:$C$21,,0)</f>
        <v>13509</v>
      </c>
      <c r="F116" s="4">
        <f t="shared" si="1"/>
        <v>54036</v>
      </c>
      <c r="G116" s="1">
        <f>_xlfn.XLOOKUP(D116,Products!$B$2:$B$21,Products!$A$2:$A$21,,0)</f>
        <v>5</v>
      </c>
    </row>
    <row r="117" spans="1:7" x14ac:dyDescent="0.3">
      <c r="A117" s="1">
        <v>5116</v>
      </c>
      <c r="B117" s="1">
        <v>14</v>
      </c>
      <c r="C117" s="4">
        <v>5</v>
      </c>
      <c r="D117" s="1" t="str">
        <f>_xlfn.XLOOKUP(B117,Products!$A$2:$A$21,Products!$B$2:$B$21,,0)</f>
        <v>Book</v>
      </c>
      <c r="E117" s="1">
        <f>_xlfn.XLOOKUP(D117,Products!$B$2:$B$21,Products!$C$2:$C$21,,0)</f>
        <v>23213</v>
      </c>
      <c r="F117" s="4">
        <f t="shared" si="1"/>
        <v>116065</v>
      </c>
      <c r="G117" s="1">
        <f>_xlfn.XLOOKUP(D117,Products!$B$2:$B$21,Products!$A$2:$A$21,,0)</f>
        <v>14</v>
      </c>
    </row>
    <row r="118" spans="1:7" x14ac:dyDescent="0.3">
      <c r="A118" s="1">
        <v>5117</v>
      </c>
      <c r="B118" s="1">
        <v>7</v>
      </c>
      <c r="C118" s="4">
        <v>4</v>
      </c>
      <c r="D118" s="1" t="str">
        <f>_xlfn.XLOOKUP(B118,Products!$A$2:$A$21,Products!$B$2:$B$21,,0)</f>
        <v>Camera</v>
      </c>
      <c r="E118" s="1">
        <f>_xlfn.XLOOKUP(D118,Products!$B$2:$B$21,Products!$C$2:$C$21,,0)</f>
        <v>34857</v>
      </c>
      <c r="F118" s="4">
        <f t="shared" si="1"/>
        <v>139428</v>
      </c>
      <c r="G118" s="1">
        <f>_xlfn.XLOOKUP(D118,Products!$B$2:$B$21,Products!$A$2:$A$21,,0)</f>
        <v>7</v>
      </c>
    </row>
    <row r="119" spans="1:7" x14ac:dyDescent="0.3">
      <c r="A119" s="1">
        <v>5118</v>
      </c>
      <c r="B119" s="1">
        <v>20</v>
      </c>
      <c r="C119" s="4">
        <v>4</v>
      </c>
      <c r="D119" s="1" t="str">
        <f>_xlfn.XLOOKUP(B119,Products!$A$2:$A$21,Products!$B$2:$B$21,,0)</f>
        <v>SSD</v>
      </c>
      <c r="E119" s="1">
        <f>_xlfn.XLOOKUP(D119,Products!$B$2:$B$21,Products!$C$2:$C$21,,0)</f>
        <v>10724</v>
      </c>
      <c r="F119" s="4">
        <f t="shared" si="1"/>
        <v>42896</v>
      </c>
      <c r="G119" s="1">
        <f>_xlfn.XLOOKUP(D119,Products!$B$2:$B$21,Products!$A$2:$A$21,,0)</f>
        <v>20</v>
      </c>
    </row>
    <row r="120" spans="1:7" x14ac:dyDescent="0.3">
      <c r="A120" s="1">
        <v>5119</v>
      </c>
      <c r="B120" s="1">
        <v>12</v>
      </c>
      <c r="C120" s="4">
        <v>5</v>
      </c>
      <c r="D120" s="1" t="str">
        <f>_xlfn.XLOOKUP(B120,Products!$A$2:$A$21,Products!$B$2:$B$21,,0)</f>
        <v>AC</v>
      </c>
      <c r="E120" s="1">
        <f>_xlfn.XLOOKUP(D120,Products!$B$2:$B$21,Products!$C$2:$C$21,,0)</f>
        <v>32456</v>
      </c>
      <c r="F120" s="4">
        <f t="shared" si="1"/>
        <v>162280</v>
      </c>
      <c r="G120" s="1">
        <f>_xlfn.XLOOKUP(D120,Products!$B$2:$B$21,Products!$A$2:$A$21,,0)</f>
        <v>12</v>
      </c>
    </row>
    <row r="121" spans="1:7" x14ac:dyDescent="0.3">
      <c r="A121" s="1">
        <v>5120</v>
      </c>
      <c r="B121" s="1">
        <v>4</v>
      </c>
      <c r="C121" s="4">
        <v>5</v>
      </c>
      <c r="D121" s="1" t="str">
        <f>_xlfn.XLOOKUP(B121,Products!$A$2:$A$21,Products!$B$2:$B$21,,0)</f>
        <v>Monitor</v>
      </c>
      <c r="E121" s="1">
        <f>_xlfn.XLOOKUP(D121,Products!$B$2:$B$21,Products!$C$2:$C$21,,0)</f>
        <v>30181</v>
      </c>
      <c r="F121" s="4">
        <f t="shared" si="1"/>
        <v>150905</v>
      </c>
      <c r="G121" s="1">
        <f>_xlfn.XLOOKUP(D121,Products!$B$2:$B$21,Products!$A$2:$A$21,,0)</f>
        <v>4</v>
      </c>
    </row>
    <row r="122" spans="1:7" x14ac:dyDescent="0.3">
      <c r="A122" s="1">
        <v>5121</v>
      </c>
      <c r="B122" s="1">
        <v>5</v>
      </c>
      <c r="C122" s="4">
        <v>3</v>
      </c>
      <c r="D122" s="1" t="str">
        <f>_xlfn.XLOOKUP(B122,Products!$A$2:$A$21,Products!$B$2:$B$21,,0)</f>
        <v>Tablet</v>
      </c>
      <c r="E122" s="1">
        <f>_xlfn.XLOOKUP(D122,Products!$B$2:$B$21,Products!$C$2:$C$21,,0)</f>
        <v>13509</v>
      </c>
      <c r="F122" s="4">
        <f t="shared" si="1"/>
        <v>40527</v>
      </c>
      <c r="G122" s="1">
        <f>_xlfn.XLOOKUP(D122,Products!$B$2:$B$21,Products!$A$2:$A$21,,0)</f>
        <v>5</v>
      </c>
    </row>
    <row r="123" spans="1:7" x14ac:dyDescent="0.3">
      <c r="A123" s="1">
        <v>5122</v>
      </c>
      <c r="B123" s="1">
        <v>7</v>
      </c>
      <c r="C123" s="4">
        <v>4</v>
      </c>
      <c r="D123" s="1" t="str">
        <f>_xlfn.XLOOKUP(B123,Products!$A$2:$A$21,Products!$B$2:$B$21,,0)</f>
        <v>Camera</v>
      </c>
      <c r="E123" s="1">
        <f>_xlfn.XLOOKUP(D123,Products!$B$2:$B$21,Products!$C$2:$C$21,,0)</f>
        <v>34857</v>
      </c>
      <c r="F123" s="4">
        <f t="shared" si="1"/>
        <v>139428</v>
      </c>
      <c r="G123" s="1">
        <f>_xlfn.XLOOKUP(D123,Products!$B$2:$B$21,Products!$A$2:$A$21,,0)</f>
        <v>7</v>
      </c>
    </row>
    <row r="124" spans="1:7" x14ac:dyDescent="0.3">
      <c r="A124" s="1">
        <v>5123</v>
      </c>
      <c r="B124" s="1">
        <v>11</v>
      </c>
      <c r="C124" s="4">
        <v>5</v>
      </c>
      <c r="D124" s="1" t="str">
        <f>_xlfn.XLOOKUP(B124,Products!$A$2:$A$21,Products!$B$2:$B$21,,0)</f>
        <v>Fan</v>
      </c>
      <c r="E124" s="1">
        <f>_xlfn.XLOOKUP(D124,Products!$B$2:$B$21,Products!$C$2:$C$21,,0)</f>
        <v>45046</v>
      </c>
      <c r="F124" s="4">
        <f t="shared" si="1"/>
        <v>225230</v>
      </c>
      <c r="G124" s="1">
        <f>_xlfn.XLOOKUP(D124,Products!$B$2:$B$21,Products!$A$2:$A$21,,0)</f>
        <v>11</v>
      </c>
    </row>
    <row r="125" spans="1:7" x14ac:dyDescent="0.3">
      <c r="A125" s="1">
        <v>5124</v>
      </c>
      <c r="B125" s="1">
        <v>3</v>
      </c>
      <c r="C125" s="4">
        <v>4</v>
      </c>
      <c r="D125" s="1" t="str">
        <f>_xlfn.XLOOKUP(B125,Products!$A$2:$A$21,Products!$B$2:$B$21,,0)</f>
        <v>Keyboard</v>
      </c>
      <c r="E125" s="1">
        <f>_xlfn.XLOOKUP(D125,Products!$B$2:$B$21,Products!$C$2:$C$21,,0)</f>
        <v>26587</v>
      </c>
      <c r="F125" s="4">
        <f t="shared" si="1"/>
        <v>106348</v>
      </c>
      <c r="G125" s="1">
        <f>_xlfn.XLOOKUP(D125,Products!$B$2:$B$21,Products!$A$2:$A$21,,0)</f>
        <v>3</v>
      </c>
    </row>
    <row r="126" spans="1:7" x14ac:dyDescent="0.3">
      <c r="A126" s="1">
        <v>5125</v>
      </c>
      <c r="B126" s="1">
        <v>5</v>
      </c>
      <c r="C126" s="4">
        <v>1</v>
      </c>
      <c r="D126" s="1" t="str">
        <f>_xlfn.XLOOKUP(B126,Products!$A$2:$A$21,Products!$B$2:$B$21,,0)</f>
        <v>Tablet</v>
      </c>
      <c r="E126" s="1">
        <f>_xlfn.XLOOKUP(D126,Products!$B$2:$B$21,Products!$C$2:$C$21,,0)</f>
        <v>13509</v>
      </c>
      <c r="F126" s="4">
        <f t="shared" si="1"/>
        <v>13509</v>
      </c>
      <c r="G126" s="1">
        <f>_xlfn.XLOOKUP(D126,Products!$B$2:$B$21,Products!$A$2:$A$21,,0)</f>
        <v>5</v>
      </c>
    </row>
    <row r="127" spans="1:7" x14ac:dyDescent="0.3">
      <c r="A127" s="1">
        <v>5126</v>
      </c>
      <c r="B127" s="1">
        <v>20</v>
      </c>
      <c r="C127" s="4">
        <v>5</v>
      </c>
      <c r="D127" s="1" t="str">
        <f>_xlfn.XLOOKUP(B127,Products!$A$2:$A$21,Products!$B$2:$B$21,,0)</f>
        <v>SSD</v>
      </c>
      <c r="E127" s="1">
        <f>_xlfn.XLOOKUP(D127,Products!$B$2:$B$21,Products!$C$2:$C$21,,0)</f>
        <v>10724</v>
      </c>
      <c r="F127" s="4">
        <f t="shared" si="1"/>
        <v>53620</v>
      </c>
      <c r="G127" s="1">
        <f>_xlfn.XLOOKUP(D127,Products!$B$2:$B$21,Products!$A$2:$A$21,,0)</f>
        <v>20</v>
      </c>
    </row>
    <row r="128" spans="1:7" x14ac:dyDescent="0.3">
      <c r="A128" s="1">
        <v>5127</v>
      </c>
      <c r="B128" s="1">
        <v>10</v>
      </c>
      <c r="C128" s="4">
        <v>3</v>
      </c>
      <c r="D128" s="1" t="str">
        <f>_xlfn.XLOOKUP(B128,Products!$A$2:$A$21,Products!$B$2:$B$21,,0)</f>
        <v>Chair</v>
      </c>
      <c r="E128" s="1">
        <f>_xlfn.XLOOKUP(D128,Products!$B$2:$B$21,Products!$C$2:$C$21,,0)</f>
        <v>18164</v>
      </c>
      <c r="F128" s="4">
        <f t="shared" si="1"/>
        <v>54492</v>
      </c>
      <c r="G128" s="1">
        <f>_xlfn.XLOOKUP(D128,Products!$B$2:$B$21,Products!$A$2:$A$21,,0)</f>
        <v>10</v>
      </c>
    </row>
    <row r="129" spans="1:7" x14ac:dyDescent="0.3">
      <c r="A129" s="1">
        <v>5128</v>
      </c>
      <c r="B129" s="1">
        <v>15</v>
      </c>
      <c r="C129" s="4">
        <v>2</v>
      </c>
      <c r="D129" s="1" t="str">
        <f>_xlfn.XLOOKUP(B129,Products!$A$2:$A$21,Products!$B$2:$B$21,,0)</f>
        <v>Bag</v>
      </c>
      <c r="E129" s="1">
        <f>_xlfn.XLOOKUP(D129,Products!$B$2:$B$21,Products!$C$2:$C$21,,0)</f>
        <v>12567</v>
      </c>
      <c r="F129" s="4">
        <f t="shared" si="1"/>
        <v>25134</v>
      </c>
      <c r="G129" s="1">
        <f>_xlfn.XLOOKUP(D129,Products!$B$2:$B$21,Products!$A$2:$A$21,,0)</f>
        <v>15</v>
      </c>
    </row>
    <row r="130" spans="1:7" x14ac:dyDescent="0.3">
      <c r="A130" s="1">
        <v>5129</v>
      </c>
      <c r="B130" s="1">
        <v>3</v>
      </c>
      <c r="C130" s="4">
        <v>2</v>
      </c>
      <c r="D130" s="1" t="str">
        <f>_xlfn.XLOOKUP(B130,Products!$A$2:$A$21,Products!$B$2:$B$21,,0)</f>
        <v>Keyboard</v>
      </c>
      <c r="E130" s="1">
        <f>_xlfn.XLOOKUP(D130,Products!$B$2:$B$21,Products!$C$2:$C$21,,0)</f>
        <v>26587</v>
      </c>
      <c r="F130" s="4">
        <f t="shared" si="1"/>
        <v>53174</v>
      </c>
      <c r="G130" s="1">
        <f>_xlfn.XLOOKUP(D130,Products!$B$2:$B$21,Products!$A$2:$A$21,,0)</f>
        <v>3</v>
      </c>
    </row>
    <row r="131" spans="1:7" x14ac:dyDescent="0.3">
      <c r="A131" s="1">
        <v>5130</v>
      </c>
      <c r="B131" s="1">
        <v>3</v>
      </c>
      <c r="C131" s="4">
        <v>3</v>
      </c>
      <c r="D131" s="1" t="str">
        <f>_xlfn.XLOOKUP(B131,Products!$A$2:$A$21,Products!$B$2:$B$21,,0)</f>
        <v>Keyboard</v>
      </c>
      <c r="E131" s="1">
        <f>_xlfn.XLOOKUP(D131,Products!$B$2:$B$21,Products!$C$2:$C$21,,0)</f>
        <v>26587</v>
      </c>
      <c r="F131" s="4">
        <f t="shared" ref="F131:F194" si="2">C131*E131</f>
        <v>79761</v>
      </c>
      <c r="G131" s="1">
        <f>_xlfn.XLOOKUP(D131,Products!$B$2:$B$21,Products!$A$2:$A$21,,0)</f>
        <v>3</v>
      </c>
    </row>
    <row r="132" spans="1:7" x14ac:dyDescent="0.3">
      <c r="A132" s="1">
        <v>5131</v>
      </c>
      <c r="B132" s="1">
        <v>4</v>
      </c>
      <c r="C132" s="4">
        <v>4</v>
      </c>
      <c r="D132" s="1" t="str">
        <f>_xlfn.XLOOKUP(B132,Products!$A$2:$A$21,Products!$B$2:$B$21,,0)</f>
        <v>Monitor</v>
      </c>
      <c r="E132" s="1">
        <f>_xlfn.XLOOKUP(D132,Products!$B$2:$B$21,Products!$C$2:$C$21,,0)</f>
        <v>30181</v>
      </c>
      <c r="F132" s="4">
        <f t="shared" si="2"/>
        <v>120724</v>
      </c>
      <c r="G132" s="1">
        <f>_xlfn.XLOOKUP(D132,Products!$B$2:$B$21,Products!$A$2:$A$21,,0)</f>
        <v>4</v>
      </c>
    </row>
    <row r="133" spans="1:7" x14ac:dyDescent="0.3">
      <c r="A133" s="1">
        <v>5132</v>
      </c>
      <c r="B133" s="1">
        <v>16</v>
      </c>
      <c r="C133" s="4">
        <v>5</v>
      </c>
      <c r="D133" s="1" t="str">
        <f>_xlfn.XLOOKUP(B133,Products!$A$2:$A$21,Products!$B$2:$B$21,,0)</f>
        <v>Watch</v>
      </c>
      <c r="E133" s="1">
        <f>_xlfn.XLOOKUP(D133,Products!$B$2:$B$21,Products!$C$2:$C$21,,0)</f>
        <v>21553</v>
      </c>
      <c r="F133" s="4">
        <f t="shared" si="2"/>
        <v>107765</v>
      </c>
      <c r="G133" s="1">
        <f>_xlfn.XLOOKUP(D133,Products!$B$2:$B$21,Products!$A$2:$A$21,,0)</f>
        <v>16</v>
      </c>
    </row>
    <row r="134" spans="1:7" x14ac:dyDescent="0.3">
      <c r="A134" s="1">
        <v>5133</v>
      </c>
      <c r="B134" s="1">
        <v>13</v>
      </c>
      <c r="C134" s="4">
        <v>5</v>
      </c>
      <c r="D134" s="1" t="str">
        <f>_xlfn.XLOOKUP(B134,Products!$A$2:$A$21,Products!$B$2:$B$21,,0)</f>
        <v>Pen</v>
      </c>
      <c r="E134" s="1">
        <f>_xlfn.XLOOKUP(D134,Products!$B$2:$B$21,Products!$C$2:$C$21,,0)</f>
        <v>3900</v>
      </c>
      <c r="F134" s="4">
        <f t="shared" si="2"/>
        <v>19500</v>
      </c>
      <c r="G134" s="1">
        <f>_xlfn.XLOOKUP(D134,Products!$B$2:$B$21,Products!$A$2:$A$21,,0)</f>
        <v>13</v>
      </c>
    </row>
    <row r="135" spans="1:7" x14ac:dyDescent="0.3">
      <c r="A135" s="1">
        <v>5134</v>
      </c>
      <c r="B135" s="1">
        <v>14</v>
      </c>
      <c r="C135" s="4">
        <v>5</v>
      </c>
      <c r="D135" s="1" t="str">
        <f>_xlfn.XLOOKUP(B135,Products!$A$2:$A$21,Products!$B$2:$B$21,,0)</f>
        <v>Book</v>
      </c>
      <c r="E135" s="1">
        <f>_xlfn.XLOOKUP(D135,Products!$B$2:$B$21,Products!$C$2:$C$21,,0)</f>
        <v>23213</v>
      </c>
      <c r="F135" s="4">
        <f t="shared" si="2"/>
        <v>116065</v>
      </c>
      <c r="G135" s="1">
        <f>_xlfn.XLOOKUP(D135,Products!$B$2:$B$21,Products!$A$2:$A$21,,0)</f>
        <v>14</v>
      </c>
    </row>
    <row r="136" spans="1:7" x14ac:dyDescent="0.3">
      <c r="A136" s="1">
        <v>5135</v>
      </c>
      <c r="B136" s="1">
        <v>19</v>
      </c>
      <c r="C136" s="4">
        <v>1</v>
      </c>
      <c r="D136" s="1" t="str">
        <f>_xlfn.XLOOKUP(B136,Products!$A$2:$A$21,Products!$B$2:$B$21,,0)</f>
        <v>Router</v>
      </c>
      <c r="E136" s="1">
        <f>_xlfn.XLOOKUP(D136,Products!$B$2:$B$21,Products!$C$2:$C$21,,0)</f>
        <v>37165</v>
      </c>
      <c r="F136" s="4">
        <f t="shared" si="2"/>
        <v>37165</v>
      </c>
      <c r="G136" s="1">
        <f>_xlfn.XLOOKUP(D136,Products!$B$2:$B$21,Products!$A$2:$A$21,,0)</f>
        <v>19</v>
      </c>
    </row>
    <row r="137" spans="1:7" x14ac:dyDescent="0.3">
      <c r="A137" s="1">
        <v>5136</v>
      </c>
      <c r="B137" s="1">
        <v>12</v>
      </c>
      <c r="C137" s="4">
        <v>4</v>
      </c>
      <c r="D137" s="1" t="str">
        <f>_xlfn.XLOOKUP(B137,Products!$A$2:$A$21,Products!$B$2:$B$21,,0)</f>
        <v>AC</v>
      </c>
      <c r="E137" s="1">
        <f>_xlfn.XLOOKUP(D137,Products!$B$2:$B$21,Products!$C$2:$C$21,,0)</f>
        <v>32456</v>
      </c>
      <c r="F137" s="4">
        <f t="shared" si="2"/>
        <v>129824</v>
      </c>
      <c r="G137" s="1">
        <f>_xlfn.XLOOKUP(D137,Products!$B$2:$B$21,Products!$A$2:$A$21,,0)</f>
        <v>12</v>
      </c>
    </row>
    <row r="138" spans="1:7" x14ac:dyDescent="0.3">
      <c r="A138" s="1">
        <v>5137</v>
      </c>
      <c r="B138" s="1">
        <v>19</v>
      </c>
      <c r="C138" s="4">
        <v>1</v>
      </c>
      <c r="D138" s="1" t="str">
        <f>_xlfn.XLOOKUP(B138,Products!$A$2:$A$21,Products!$B$2:$B$21,,0)</f>
        <v>Router</v>
      </c>
      <c r="E138" s="1">
        <f>_xlfn.XLOOKUP(D138,Products!$B$2:$B$21,Products!$C$2:$C$21,,0)</f>
        <v>37165</v>
      </c>
      <c r="F138" s="4">
        <f t="shared" si="2"/>
        <v>37165</v>
      </c>
      <c r="G138" s="1">
        <f>_xlfn.XLOOKUP(D138,Products!$B$2:$B$21,Products!$A$2:$A$21,,0)</f>
        <v>19</v>
      </c>
    </row>
    <row r="139" spans="1:7" x14ac:dyDescent="0.3">
      <c r="A139" s="1">
        <v>5138</v>
      </c>
      <c r="B139" s="1">
        <v>17</v>
      </c>
      <c r="C139" s="4">
        <v>1</v>
      </c>
      <c r="D139" s="1" t="str">
        <f>_xlfn.XLOOKUP(B139,Products!$A$2:$A$21,Products!$B$2:$B$21,,0)</f>
        <v>TV</v>
      </c>
      <c r="E139" s="1">
        <f>_xlfn.XLOOKUP(D139,Products!$B$2:$B$21,Products!$C$2:$C$21,,0)</f>
        <v>25434</v>
      </c>
      <c r="F139" s="4">
        <f t="shared" si="2"/>
        <v>25434</v>
      </c>
      <c r="G139" s="1">
        <f>_xlfn.XLOOKUP(D139,Products!$B$2:$B$21,Products!$A$2:$A$21,,0)</f>
        <v>17</v>
      </c>
    </row>
    <row r="140" spans="1:7" x14ac:dyDescent="0.3">
      <c r="A140" s="1">
        <v>5139</v>
      </c>
      <c r="B140" s="1">
        <v>7</v>
      </c>
      <c r="C140" s="4">
        <v>2</v>
      </c>
      <c r="D140" s="1" t="str">
        <f>_xlfn.XLOOKUP(B140,Products!$A$2:$A$21,Products!$B$2:$B$21,,0)</f>
        <v>Camera</v>
      </c>
      <c r="E140" s="1">
        <f>_xlfn.XLOOKUP(D140,Products!$B$2:$B$21,Products!$C$2:$C$21,,0)</f>
        <v>34857</v>
      </c>
      <c r="F140" s="4">
        <f t="shared" si="2"/>
        <v>69714</v>
      </c>
      <c r="G140" s="1">
        <f>_xlfn.XLOOKUP(D140,Products!$B$2:$B$21,Products!$A$2:$A$21,,0)</f>
        <v>7</v>
      </c>
    </row>
    <row r="141" spans="1:7" x14ac:dyDescent="0.3">
      <c r="A141" s="1">
        <v>5140</v>
      </c>
      <c r="B141" s="1">
        <v>8</v>
      </c>
      <c r="C141" s="4">
        <v>2</v>
      </c>
      <c r="D141" s="1" t="str">
        <f>_xlfn.XLOOKUP(B141,Products!$A$2:$A$21,Products!$B$2:$B$21,,0)</f>
        <v>Printer</v>
      </c>
      <c r="E141" s="1">
        <f>_xlfn.XLOOKUP(D141,Products!$B$2:$B$21,Products!$C$2:$C$21,,0)</f>
        <v>31589</v>
      </c>
      <c r="F141" s="4">
        <f t="shared" si="2"/>
        <v>63178</v>
      </c>
      <c r="G141" s="1">
        <f>_xlfn.XLOOKUP(D141,Products!$B$2:$B$21,Products!$A$2:$A$21,,0)</f>
        <v>8</v>
      </c>
    </row>
    <row r="142" spans="1:7" x14ac:dyDescent="0.3">
      <c r="A142" s="1">
        <v>5141</v>
      </c>
      <c r="B142" s="1">
        <v>17</v>
      </c>
      <c r="C142" s="4">
        <v>2</v>
      </c>
      <c r="D142" s="1" t="str">
        <f>_xlfn.XLOOKUP(B142,Products!$A$2:$A$21,Products!$B$2:$B$21,,0)</f>
        <v>TV</v>
      </c>
      <c r="E142" s="1">
        <f>_xlfn.XLOOKUP(D142,Products!$B$2:$B$21,Products!$C$2:$C$21,,0)</f>
        <v>25434</v>
      </c>
      <c r="F142" s="4">
        <f t="shared" si="2"/>
        <v>50868</v>
      </c>
      <c r="G142" s="1">
        <f>_xlfn.XLOOKUP(D142,Products!$B$2:$B$21,Products!$A$2:$A$21,,0)</f>
        <v>17</v>
      </c>
    </row>
    <row r="143" spans="1:7" x14ac:dyDescent="0.3">
      <c r="A143" s="1">
        <v>5142</v>
      </c>
      <c r="B143" s="1">
        <v>4</v>
      </c>
      <c r="C143" s="4">
        <v>2</v>
      </c>
      <c r="D143" s="1" t="str">
        <f>_xlfn.XLOOKUP(B143,Products!$A$2:$A$21,Products!$B$2:$B$21,,0)</f>
        <v>Monitor</v>
      </c>
      <c r="E143" s="1">
        <f>_xlfn.XLOOKUP(D143,Products!$B$2:$B$21,Products!$C$2:$C$21,,0)</f>
        <v>30181</v>
      </c>
      <c r="F143" s="4">
        <f t="shared" si="2"/>
        <v>60362</v>
      </c>
      <c r="G143" s="1">
        <f>_xlfn.XLOOKUP(D143,Products!$B$2:$B$21,Products!$A$2:$A$21,,0)</f>
        <v>4</v>
      </c>
    </row>
    <row r="144" spans="1:7" x14ac:dyDescent="0.3">
      <c r="A144" s="1">
        <v>5143</v>
      </c>
      <c r="B144" s="1">
        <v>14</v>
      </c>
      <c r="C144" s="4">
        <v>1</v>
      </c>
      <c r="D144" s="1" t="str">
        <f>_xlfn.XLOOKUP(B144,Products!$A$2:$A$21,Products!$B$2:$B$21,,0)</f>
        <v>Book</v>
      </c>
      <c r="E144" s="1">
        <f>_xlfn.XLOOKUP(D144,Products!$B$2:$B$21,Products!$C$2:$C$21,,0)</f>
        <v>23213</v>
      </c>
      <c r="F144" s="4">
        <f t="shared" si="2"/>
        <v>23213</v>
      </c>
      <c r="G144" s="1">
        <f>_xlfn.XLOOKUP(D144,Products!$B$2:$B$21,Products!$A$2:$A$21,,0)</f>
        <v>14</v>
      </c>
    </row>
    <row r="145" spans="1:7" x14ac:dyDescent="0.3">
      <c r="A145" s="1">
        <v>5144</v>
      </c>
      <c r="B145" s="1">
        <v>4</v>
      </c>
      <c r="C145" s="4">
        <v>1</v>
      </c>
      <c r="D145" s="1" t="str">
        <f>_xlfn.XLOOKUP(B145,Products!$A$2:$A$21,Products!$B$2:$B$21,,0)</f>
        <v>Monitor</v>
      </c>
      <c r="E145" s="1">
        <f>_xlfn.XLOOKUP(D145,Products!$B$2:$B$21,Products!$C$2:$C$21,,0)</f>
        <v>30181</v>
      </c>
      <c r="F145" s="4">
        <f t="shared" si="2"/>
        <v>30181</v>
      </c>
      <c r="G145" s="1">
        <f>_xlfn.XLOOKUP(D145,Products!$B$2:$B$21,Products!$A$2:$A$21,,0)</f>
        <v>4</v>
      </c>
    </row>
    <row r="146" spans="1:7" x14ac:dyDescent="0.3">
      <c r="A146" s="1">
        <v>5145</v>
      </c>
      <c r="B146" s="1">
        <v>8</v>
      </c>
      <c r="C146" s="4">
        <v>2</v>
      </c>
      <c r="D146" s="1" t="str">
        <f>_xlfn.XLOOKUP(B146,Products!$A$2:$A$21,Products!$B$2:$B$21,,0)</f>
        <v>Printer</v>
      </c>
      <c r="E146" s="1">
        <f>_xlfn.XLOOKUP(D146,Products!$B$2:$B$21,Products!$C$2:$C$21,,0)</f>
        <v>31589</v>
      </c>
      <c r="F146" s="4">
        <f t="shared" si="2"/>
        <v>63178</v>
      </c>
      <c r="G146" s="1">
        <f>_xlfn.XLOOKUP(D146,Products!$B$2:$B$21,Products!$A$2:$A$21,,0)</f>
        <v>8</v>
      </c>
    </row>
    <row r="147" spans="1:7" x14ac:dyDescent="0.3">
      <c r="A147" s="1">
        <v>5146</v>
      </c>
      <c r="B147" s="1">
        <v>15</v>
      </c>
      <c r="C147" s="4">
        <v>1</v>
      </c>
      <c r="D147" s="1" t="str">
        <f>_xlfn.XLOOKUP(B147,Products!$A$2:$A$21,Products!$B$2:$B$21,,0)</f>
        <v>Bag</v>
      </c>
      <c r="E147" s="1">
        <f>_xlfn.XLOOKUP(D147,Products!$B$2:$B$21,Products!$C$2:$C$21,,0)</f>
        <v>12567</v>
      </c>
      <c r="F147" s="4">
        <f t="shared" si="2"/>
        <v>12567</v>
      </c>
      <c r="G147" s="1">
        <f>_xlfn.XLOOKUP(D147,Products!$B$2:$B$21,Products!$A$2:$A$21,,0)</f>
        <v>15</v>
      </c>
    </row>
    <row r="148" spans="1:7" x14ac:dyDescent="0.3">
      <c r="A148" s="1">
        <v>5147</v>
      </c>
      <c r="B148" s="1">
        <v>18</v>
      </c>
      <c r="C148" s="4">
        <v>3</v>
      </c>
      <c r="D148" s="1" t="str">
        <f>_xlfn.XLOOKUP(B148,Products!$A$2:$A$21,Products!$B$2:$B$21,,0)</f>
        <v>Speaker</v>
      </c>
      <c r="E148" s="1">
        <f>_xlfn.XLOOKUP(D148,Products!$B$2:$B$21,Products!$C$2:$C$21,,0)</f>
        <v>28829</v>
      </c>
      <c r="F148" s="4">
        <f t="shared" si="2"/>
        <v>86487</v>
      </c>
      <c r="G148" s="1">
        <f>_xlfn.XLOOKUP(D148,Products!$B$2:$B$21,Products!$A$2:$A$21,,0)</f>
        <v>18</v>
      </c>
    </row>
    <row r="149" spans="1:7" x14ac:dyDescent="0.3">
      <c r="A149" s="1">
        <v>5148</v>
      </c>
      <c r="B149" s="1">
        <v>20</v>
      </c>
      <c r="C149" s="4">
        <v>3</v>
      </c>
      <c r="D149" s="1" t="str">
        <f>_xlfn.XLOOKUP(B149,Products!$A$2:$A$21,Products!$B$2:$B$21,,0)</f>
        <v>SSD</v>
      </c>
      <c r="E149" s="1">
        <f>_xlfn.XLOOKUP(D149,Products!$B$2:$B$21,Products!$C$2:$C$21,,0)</f>
        <v>10724</v>
      </c>
      <c r="F149" s="4">
        <f t="shared" si="2"/>
        <v>32172</v>
      </c>
      <c r="G149" s="1">
        <f>_xlfn.XLOOKUP(D149,Products!$B$2:$B$21,Products!$A$2:$A$21,,0)</f>
        <v>20</v>
      </c>
    </row>
    <row r="150" spans="1:7" x14ac:dyDescent="0.3">
      <c r="A150" s="1">
        <v>5149</v>
      </c>
      <c r="B150" s="1">
        <v>1</v>
      </c>
      <c r="C150" s="4">
        <v>1</v>
      </c>
      <c r="D150" s="1" t="str">
        <f>_xlfn.XLOOKUP(B150,Products!$A$2:$A$21,Products!$B$2:$B$21,,0)</f>
        <v>Laptop</v>
      </c>
      <c r="E150" s="1">
        <f>_xlfn.XLOOKUP(D150,Products!$B$2:$B$21,Products!$C$2:$C$21,,0)</f>
        <v>34130</v>
      </c>
      <c r="F150" s="4">
        <f t="shared" si="2"/>
        <v>34130</v>
      </c>
      <c r="G150" s="1">
        <f>_xlfn.XLOOKUP(D150,Products!$B$2:$B$21,Products!$A$2:$A$21,,0)</f>
        <v>1</v>
      </c>
    </row>
    <row r="151" spans="1:7" x14ac:dyDescent="0.3">
      <c r="A151" s="1">
        <v>5150</v>
      </c>
      <c r="B151" s="1">
        <v>12</v>
      </c>
      <c r="C151" s="4">
        <v>2</v>
      </c>
      <c r="D151" s="1" t="str">
        <f>_xlfn.XLOOKUP(B151,Products!$A$2:$A$21,Products!$B$2:$B$21,,0)</f>
        <v>AC</v>
      </c>
      <c r="E151" s="1">
        <f>_xlfn.XLOOKUP(D151,Products!$B$2:$B$21,Products!$C$2:$C$21,,0)</f>
        <v>32456</v>
      </c>
      <c r="F151" s="4">
        <f t="shared" si="2"/>
        <v>64912</v>
      </c>
      <c r="G151" s="1">
        <f>_xlfn.XLOOKUP(D151,Products!$B$2:$B$21,Products!$A$2:$A$21,,0)</f>
        <v>12</v>
      </c>
    </row>
    <row r="152" spans="1:7" x14ac:dyDescent="0.3">
      <c r="A152" s="1">
        <v>5151</v>
      </c>
      <c r="B152" s="1">
        <v>20</v>
      </c>
      <c r="C152" s="4">
        <v>3</v>
      </c>
      <c r="D152" s="1" t="str">
        <f>_xlfn.XLOOKUP(B152,Products!$A$2:$A$21,Products!$B$2:$B$21,,0)</f>
        <v>SSD</v>
      </c>
      <c r="E152" s="1">
        <f>_xlfn.XLOOKUP(D152,Products!$B$2:$B$21,Products!$C$2:$C$21,,0)</f>
        <v>10724</v>
      </c>
      <c r="F152" s="4">
        <f t="shared" si="2"/>
        <v>32172</v>
      </c>
      <c r="G152" s="1">
        <f>_xlfn.XLOOKUP(D152,Products!$B$2:$B$21,Products!$A$2:$A$21,,0)</f>
        <v>20</v>
      </c>
    </row>
    <row r="153" spans="1:7" x14ac:dyDescent="0.3">
      <c r="A153" s="1">
        <v>5152</v>
      </c>
      <c r="B153" s="1">
        <v>18</v>
      </c>
      <c r="C153" s="4">
        <v>5</v>
      </c>
      <c r="D153" s="1" t="str">
        <f>_xlfn.XLOOKUP(B153,Products!$A$2:$A$21,Products!$B$2:$B$21,,0)</f>
        <v>Speaker</v>
      </c>
      <c r="E153" s="1">
        <f>_xlfn.XLOOKUP(D153,Products!$B$2:$B$21,Products!$C$2:$C$21,,0)</f>
        <v>28829</v>
      </c>
      <c r="F153" s="4">
        <f t="shared" si="2"/>
        <v>144145</v>
      </c>
      <c r="G153" s="1">
        <f>_xlfn.XLOOKUP(D153,Products!$B$2:$B$21,Products!$A$2:$A$21,,0)</f>
        <v>18</v>
      </c>
    </row>
    <row r="154" spans="1:7" x14ac:dyDescent="0.3">
      <c r="A154" s="1">
        <v>5153</v>
      </c>
      <c r="B154" s="1">
        <v>20</v>
      </c>
      <c r="C154" s="4">
        <v>4</v>
      </c>
      <c r="D154" s="1" t="str">
        <f>_xlfn.XLOOKUP(B154,Products!$A$2:$A$21,Products!$B$2:$B$21,,0)</f>
        <v>SSD</v>
      </c>
      <c r="E154" s="1">
        <f>_xlfn.XLOOKUP(D154,Products!$B$2:$B$21,Products!$C$2:$C$21,,0)</f>
        <v>10724</v>
      </c>
      <c r="F154" s="4">
        <f t="shared" si="2"/>
        <v>42896</v>
      </c>
      <c r="G154" s="1">
        <f>_xlfn.XLOOKUP(D154,Products!$B$2:$B$21,Products!$A$2:$A$21,,0)</f>
        <v>20</v>
      </c>
    </row>
    <row r="155" spans="1:7" x14ac:dyDescent="0.3">
      <c r="A155" s="1">
        <v>5154</v>
      </c>
      <c r="B155" s="1">
        <v>14</v>
      </c>
      <c r="C155" s="4">
        <v>3</v>
      </c>
      <c r="D155" s="1" t="str">
        <f>_xlfn.XLOOKUP(B155,Products!$A$2:$A$21,Products!$B$2:$B$21,,0)</f>
        <v>Book</v>
      </c>
      <c r="E155" s="1">
        <f>_xlfn.XLOOKUP(D155,Products!$B$2:$B$21,Products!$C$2:$C$21,,0)</f>
        <v>23213</v>
      </c>
      <c r="F155" s="4">
        <f t="shared" si="2"/>
        <v>69639</v>
      </c>
      <c r="G155" s="1">
        <f>_xlfn.XLOOKUP(D155,Products!$B$2:$B$21,Products!$A$2:$A$21,,0)</f>
        <v>14</v>
      </c>
    </row>
    <row r="156" spans="1:7" x14ac:dyDescent="0.3">
      <c r="A156" s="1">
        <v>5155</v>
      </c>
      <c r="B156" s="1">
        <v>12</v>
      </c>
      <c r="C156" s="4">
        <v>3</v>
      </c>
      <c r="D156" s="1" t="str">
        <f>_xlfn.XLOOKUP(B156,Products!$A$2:$A$21,Products!$B$2:$B$21,,0)</f>
        <v>AC</v>
      </c>
      <c r="E156" s="1">
        <f>_xlfn.XLOOKUP(D156,Products!$B$2:$B$21,Products!$C$2:$C$21,,0)</f>
        <v>32456</v>
      </c>
      <c r="F156" s="4">
        <f t="shared" si="2"/>
        <v>97368</v>
      </c>
      <c r="G156" s="1">
        <f>_xlfn.XLOOKUP(D156,Products!$B$2:$B$21,Products!$A$2:$A$21,,0)</f>
        <v>12</v>
      </c>
    </row>
    <row r="157" spans="1:7" x14ac:dyDescent="0.3">
      <c r="A157" s="1">
        <v>5156</v>
      </c>
      <c r="B157" s="1">
        <v>1</v>
      </c>
      <c r="C157" s="4">
        <v>5</v>
      </c>
      <c r="D157" s="1" t="str">
        <f>_xlfn.XLOOKUP(B157,Products!$A$2:$A$21,Products!$B$2:$B$21,,0)</f>
        <v>Laptop</v>
      </c>
      <c r="E157" s="1">
        <f>_xlfn.XLOOKUP(D157,Products!$B$2:$B$21,Products!$C$2:$C$21,,0)</f>
        <v>34130</v>
      </c>
      <c r="F157" s="4">
        <f t="shared" si="2"/>
        <v>170650</v>
      </c>
      <c r="G157" s="1">
        <f>_xlfn.XLOOKUP(D157,Products!$B$2:$B$21,Products!$A$2:$A$21,,0)</f>
        <v>1</v>
      </c>
    </row>
    <row r="158" spans="1:7" x14ac:dyDescent="0.3">
      <c r="A158" s="1">
        <v>5157</v>
      </c>
      <c r="B158" s="1">
        <v>10</v>
      </c>
      <c r="C158" s="4">
        <v>1</v>
      </c>
      <c r="D158" s="1" t="str">
        <f>_xlfn.XLOOKUP(B158,Products!$A$2:$A$21,Products!$B$2:$B$21,,0)</f>
        <v>Chair</v>
      </c>
      <c r="E158" s="1">
        <f>_xlfn.XLOOKUP(D158,Products!$B$2:$B$21,Products!$C$2:$C$21,,0)</f>
        <v>18164</v>
      </c>
      <c r="F158" s="4">
        <f t="shared" si="2"/>
        <v>18164</v>
      </c>
      <c r="G158" s="1">
        <f>_xlfn.XLOOKUP(D158,Products!$B$2:$B$21,Products!$A$2:$A$21,,0)</f>
        <v>10</v>
      </c>
    </row>
    <row r="159" spans="1:7" x14ac:dyDescent="0.3">
      <c r="A159" s="1">
        <v>5158</v>
      </c>
      <c r="B159" s="1">
        <v>1</v>
      </c>
      <c r="C159" s="4">
        <v>3</v>
      </c>
      <c r="D159" s="1" t="str">
        <f>_xlfn.XLOOKUP(B159,Products!$A$2:$A$21,Products!$B$2:$B$21,,0)</f>
        <v>Laptop</v>
      </c>
      <c r="E159" s="1">
        <f>_xlfn.XLOOKUP(D159,Products!$B$2:$B$21,Products!$C$2:$C$21,,0)</f>
        <v>34130</v>
      </c>
      <c r="F159" s="4">
        <f t="shared" si="2"/>
        <v>102390</v>
      </c>
      <c r="G159" s="1">
        <f>_xlfn.XLOOKUP(D159,Products!$B$2:$B$21,Products!$A$2:$A$21,,0)</f>
        <v>1</v>
      </c>
    </row>
    <row r="160" spans="1:7" x14ac:dyDescent="0.3">
      <c r="A160" s="1">
        <v>5159</v>
      </c>
      <c r="B160" s="1">
        <v>8</v>
      </c>
      <c r="C160" s="4">
        <v>3</v>
      </c>
      <c r="D160" s="1" t="str">
        <f>_xlfn.XLOOKUP(B160,Products!$A$2:$A$21,Products!$B$2:$B$21,,0)</f>
        <v>Printer</v>
      </c>
      <c r="E160" s="1">
        <f>_xlfn.XLOOKUP(D160,Products!$B$2:$B$21,Products!$C$2:$C$21,,0)</f>
        <v>31589</v>
      </c>
      <c r="F160" s="4">
        <f t="shared" si="2"/>
        <v>94767</v>
      </c>
      <c r="G160" s="1">
        <f>_xlfn.XLOOKUP(D160,Products!$B$2:$B$21,Products!$A$2:$A$21,,0)</f>
        <v>8</v>
      </c>
    </row>
    <row r="161" spans="1:7" x14ac:dyDescent="0.3">
      <c r="A161" s="1">
        <v>5160</v>
      </c>
      <c r="B161" s="1">
        <v>1</v>
      </c>
      <c r="C161" s="4">
        <v>3</v>
      </c>
      <c r="D161" s="1" t="str">
        <f>_xlfn.XLOOKUP(B161,Products!$A$2:$A$21,Products!$B$2:$B$21,,0)</f>
        <v>Laptop</v>
      </c>
      <c r="E161" s="1">
        <f>_xlfn.XLOOKUP(D161,Products!$B$2:$B$21,Products!$C$2:$C$21,,0)</f>
        <v>34130</v>
      </c>
      <c r="F161" s="4">
        <f t="shared" si="2"/>
        <v>102390</v>
      </c>
      <c r="G161" s="1">
        <f>_xlfn.XLOOKUP(D161,Products!$B$2:$B$21,Products!$A$2:$A$21,,0)</f>
        <v>1</v>
      </c>
    </row>
    <row r="162" spans="1:7" x14ac:dyDescent="0.3">
      <c r="A162" s="1">
        <v>5161</v>
      </c>
      <c r="B162" s="1">
        <v>18</v>
      </c>
      <c r="C162" s="4">
        <v>2</v>
      </c>
      <c r="D162" s="1" t="str">
        <f>_xlfn.XLOOKUP(B162,Products!$A$2:$A$21,Products!$B$2:$B$21,,0)</f>
        <v>Speaker</v>
      </c>
      <c r="E162" s="1">
        <f>_xlfn.XLOOKUP(D162,Products!$B$2:$B$21,Products!$C$2:$C$21,,0)</f>
        <v>28829</v>
      </c>
      <c r="F162" s="4">
        <f t="shared" si="2"/>
        <v>57658</v>
      </c>
      <c r="G162" s="1">
        <f>_xlfn.XLOOKUP(D162,Products!$B$2:$B$21,Products!$A$2:$A$21,,0)</f>
        <v>18</v>
      </c>
    </row>
    <row r="163" spans="1:7" x14ac:dyDescent="0.3">
      <c r="A163" s="1">
        <v>5162</v>
      </c>
      <c r="B163" s="1">
        <v>8</v>
      </c>
      <c r="C163" s="4">
        <v>3</v>
      </c>
      <c r="D163" s="1" t="str">
        <f>_xlfn.XLOOKUP(B163,Products!$A$2:$A$21,Products!$B$2:$B$21,,0)</f>
        <v>Printer</v>
      </c>
      <c r="E163" s="1">
        <f>_xlfn.XLOOKUP(D163,Products!$B$2:$B$21,Products!$C$2:$C$21,,0)</f>
        <v>31589</v>
      </c>
      <c r="F163" s="4">
        <f t="shared" si="2"/>
        <v>94767</v>
      </c>
      <c r="G163" s="1">
        <f>_xlfn.XLOOKUP(D163,Products!$B$2:$B$21,Products!$A$2:$A$21,,0)</f>
        <v>8</v>
      </c>
    </row>
    <row r="164" spans="1:7" x14ac:dyDescent="0.3">
      <c r="A164" s="1">
        <v>5163</v>
      </c>
      <c r="B164" s="1">
        <v>19</v>
      </c>
      <c r="C164" s="4">
        <v>1</v>
      </c>
      <c r="D164" s="1" t="str">
        <f>_xlfn.XLOOKUP(B164,Products!$A$2:$A$21,Products!$B$2:$B$21,,0)</f>
        <v>Router</v>
      </c>
      <c r="E164" s="1">
        <f>_xlfn.XLOOKUP(D164,Products!$B$2:$B$21,Products!$C$2:$C$21,,0)</f>
        <v>37165</v>
      </c>
      <c r="F164" s="4">
        <f t="shared" si="2"/>
        <v>37165</v>
      </c>
      <c r="G164" s="1">
        <f>_xlfn.XLOOKUP(D164,Products!$B$2:$B$21,Products!$A$2:$A$21,,0)</f>
        <v>19</v>
      </c>
    </row>
    <row r="165" spans="1:7" x14ac:dyDescent="0.3">
      <c r="A165" s="1">
        <v>5164</v>
      </c>
      <c r="B165" s="1">
        <v>10</v>
      </c>
      <c r="C165" s="4">
        <v>2</v>
      </c>
      <c r="D165" s="1" t="str">
        <f>_xlfn.XLOOKUP(B165,Products!$A$2:$A$21,Products!$B$2:$B$21,,0)</f>
        <v>Chair</v>
      </c>
      <c r="E165" s="1">
        <f>_xlfn.XLOOKUP(D165,Products!$B$2:$B$21,Products!$C$2:$C$21,,0)</f>
        <v>18164</v>
      </c>
      <c r="F165" s="4">
        <f t="shared" si="2"/>
        <v>36328</v>
      </c>
      <c r="G165" s="1">
        <f>_xlfn.XLOOKUP(D165,Products!$B$2:$B$21,Products!$A$2:$A$21,,0)</f>
        <v>10</v>
      </c>
    </row>
    <row r="166" spans="1:7" x14ac:dyDescent="0.3">
      <c r="A166" s="1">
        <v>5165</v>
      </c>
      <c r="B166" s="1">
        <v>10</v>
      </c>
      <c r="C166" s="4">
        <v>1</v>
      </c>
      <c r="D166" s="1" t="str">
        <f>_xlfn.XLOOKUP(B166,Products!$A$2:$A$21,Products!$B$2:$B$21,,0)</f>
        <v>Chair</v>
      </c>
      <c r="E166" s="1">
        <f>_xlfn.XLOOKUP(D166,Products!$B$2:$B$21,Products!$C$2:$C$21,,0)</f>
        <v>18164</v>
      </c>
      <c r="F166" s="4">
        <f t="shared" si="2"/>
        <v>18164</v>
      </c>
      <c r="G166" s="1">
        <f>_xlfn.XLOOKUP(D166,Products!$B$2:$B$21,Products!$A$2:$A$21,,0)</f>
        <v>10</v>
      </c>
    </row>
    <row r="167" spans="1:7" x14ac:dyDescent="0.3">
      <c r="A167" s="1">
        <v>5166</v>
      </c>
      <c r="B167" s="1">
        <v>9</v>
      </c>
      <c r="C167" s="4">
        <v>3</v>
      </c>
      <c r="D167" s="1" t="str">
        <f>_xlfn.XLOOKUP(B167,Products!$A$2:$A$21,Products!$B$2:$B$21,,0)</f>
        <v>Desk</v>
      </c>
      <c r="E167" s="1">
        <f>_xlfn.XLOOKUP(D167,Products!$B$2:$B$21,Products!$C$2:$C$21,,0)</f>
        <v>15870</v>
      </c>
      <c r="F167" s="4">
        <f t="shared" si="2"/>
        <v>47610</v>
      </c>
      <c r="G167" s="1">
        <f>_xlfn.XLOOKUP(D167,Products!$B$2:$B$21,Products!$A$2:$A$21,,0)</f>
        <v>9</v>
      </c>
    </row>
    <row r="168" spans="1:7" x14ac:dyDescent="0.3">
      <c r="A168" s="1">
        <v>5167</v>
      </c>
      <c r="B168" s="1">
        <v>18</v>
      </c>
      <c r="C168" s="4">
        <v>5</v>
      </c>
      <c r="D168" s="1" t="str">
        <f>_xlfn.XLOOKUP(B168,Products!$A$2:$A$21,Products!$B$2:$B$21,,0)</f>
        <v>Speaker</v>
      </c>
      <c r="E168" s="1">
        <f>_xlfn.XLOOKUP(D168,Products!$B$2:$B$21,Products!$C$2:$C$21,,0)</f>
        <v>28829</v>
      </c>
      <c r="F168" s="4">
        <f t="shared" si="2"/>
        <v>144145</v>
      </c>
      <c r="G168" s="1">
        <f>_xlfn.XLOOKUP(D168,Products!$B$2:$B$21,Products!$A$2:$A$21,,0)</f>
        <v>18</v>
      </c>
    </row>
    <row r="169" spans="1:7" x14ac:dyDescent="0.3">
      <c r="A169" s="1">
        <v>5168</v>
      </c>
      <c r="B169" s="1">
        <v>9</v>
      </c>
      <c r="C169" s="4">
        <v>1</v>
      </c>
      <c r="D169" s="1" t="str">
        <f>_xlfn.XLOOKUP(B169,Products!$A$2:$A$21,Products!$B$2:$B$21,,0)</f>
        <v>Desk</v>
      </c>
      <c r="E169" s="1">
        <f>_xlfn.XLOOKUP(D169,Products!$B$2:$B$21,Products!$C$2:$C$21,,0)</f>
        <v>15870</v>
      </c>
      <c r="F169" s="4">
        <f t="shared" si="2"/>
        <v>15870</v>
      </c>
      <c r="G169" s="1">
        <f>_xlfn.XLOOKUP(D169,Products!$B$2:$B$21,Products!$A$2:$A$21,,0)</f>
        <v>9</v>
      </c>
    </row>
    <row r="170" spans="1:7" x14ac:dyDescent="0.3">
      <c r="A170" s="1">
        <v>5169</v>
      </c>
      <c r="B170" s="1">
        <v>17</v>
      </c>
      <c r="C170" s="4">
        <v>2</v>
      </c>
      <c r="D170" s="1" t="str">
        <f>_xlfn.XLOOKUP(B170,Products!$A$2:$A$21,Products!$B$2:$B$21,,0)</f>
        <v>TV</v>
      </c>
      <c r="E170" s="1">
        <f>_xlfn.XLOOKUP(D170,Products!$B$2:$B$21,Products!$C$2:$C$21,,0)</f>
        <v>25434</v>
      </c>
      <c r="F170" s="4">
        <f t="shared" si="2"/>
        <v>50868</v>
      </c>
      <c r="G170" s="1">
        <f>_xlfn.XLOOKUP(D170,Products!$B$2:$B$21,Products!$A$2:$A$21,,0)</f>
        <v>17</v>
      </c>
    </row>
    <row r="171" spans="1:7" x14ac:dyDescent="0.3">
      <c r="A171" s="1">
        <v>5170</v>
      </c>
      <c r="B171" s="1">
        <v>19</v>
      </c>
      <c r="C171" s="4">
        <v>4</v>
      </c>
      <c r="D171" s="1" t="str">
        <f>_xlfn.XLOOKUP(B171,Products!$A$2:$A$21,Products!$B$2:$B$21,,0)</f>
        <v>Router</v>
      </c>
      <c r="E171" s="1">
        <f>_xlfn.XLOOKUP(D171,Products!$B$2:$B$21,Products!$C$2:$C$21,,0)</f>
        <v>37165</v>
      </c>
      <c r="F171" s="4">
        <f t="shared" si="2"/>
        <v>148660</v>
      </c>
      <c r="G171" s="1">
        <f>_xlfn.XLOOKUP(D171,Products!$B$2:$B$21,Products!$A$2:$A$21,,0)</f>
        <v>19</v>
      </c>
    </row>
    <row r="172" spans="1:7" x14ac:dyDescent="0.3">
      <c r="A172" s="1">
        <v>5171</v>
      </c>
      <c r="B172" s="1">
        <v>18</v>
      </c>
      <c r="C172" s="4">
        <v>5</v>
      </c>
      <c r="D172" s="1" t="str">
        <f>_xlfn.XLOOKUP(B172,Products!$A$2:$A$21,Products!$B$2:$B$21,,0)</f>
        <v>Speaker</v>
      </c>
      <c r="E172" s="1">
        <f>_xlfn.XLOOKUP(D172,Products!$B$2:$B$21,Products!$C$2:$C$21,,0)</f>
        <v>28829</v>
      </c>
      <c r="F172" s="4">
        <f t="shared" si="2"/>
        <v>144145</v>
      </c>
      <c r="G172" s="1">
        <f>_xlfn.XLOOKUP(D172,Products!$B$2:$B$21,Products!$A$2:$A$21,,0)</f>
        <v>18</v>
      </c>
    </row>
    <row r="173" spans="1:7" x14ac:dyDescent="0.3">
      <c r="A173" s="1">
        <v>5172</v>
      </c>
      <c r="B173" s="1">
        <v>16</v>
      </c>
      <c r="C173" s="4">
        <v>4</v>
      </c>
      <c r="D173" s="1" t="str">
        <f>_xlfn.XLOOKUP(B173,Products!$A$2:$A$21,Products!$B$2:$B$21,,0)</f>
        <v>Watch</v>
      </c>
      <c r="E173" s="1">
        <f>_xlfn.XLOOKUP(D173,Products!$B$2:$B$21,Products!$C$2:$C$21,,0)</f>
        <v>21553</v>
      </c>
      <c r="F173" s="4">
        <f t="shared" si="2"/>
        <v>86212</v>
      </c>
      <c r="G173" s="1">
        <f>_xlfn.XLOOKUP(D173,Products!$B$2:$B$21,Products!$A$2:$A$21,,0)</f>
        <v>16</v>
      </c>
    </row>
    <row r="174" spans="1:7" x14ac:dyDescent="0.3">
      <c r="A174" s="1">
        <v>5173</v>
      </c>
      <c r="B174" s="1">
        <v>10</v>
      </c>
      <c r="C174" s="4">
        <v>5</v>
      </c>
      <c r="D174" s="1" t="str">
        <f>_xlfn.XLOOKUP(B174,Products!$A$2:$A$21,Products!$B$2:$B$21,,0)</f>
        <v>Chair</v>
      </c>
      <c r="E174" s="1">
        <f>_xlfn.XLOOKUP(D174,Products!$B$2:$B$21,Products!$C$2:$C$21,,0)</f>
        <v>18164</v>
      </c>
      <c r="F174" s="4">
        <f t="shared" si="2"/>
        <v>90820</v>
      </c>
      <c r="G174" s="1">
        <f>_xlfn.XLOOKUP(D174,Products!$B$2:$B$21,Products!$A$2:$A$21,,0)</f>
        <v>10</v>
      </c>
    </row>
    <row r="175" spans="1:7" x14ac:dyDescent="0.3">
      <c r="A175" s="1">
        <v>5174</v>
      </c>
      <c r="B175" s="1">
        <v>19</v>
      </c>
      <c r="C175" s="4">
        <v>1</v>
      </c>
      <c r="D175" s="1" t="str">
        <f>_xlfn.XLOOKUP(B175,Products!$A$2:$A$21,Products!$B$2:$B$21,,0)</f>
        <v>Router</v>
      </c>
      <c r="E175" s="1">
        <f>_xlfn.XLOOKUP(D175,Products!$B$2:$B$21,Products!$C$2:$C$21,,0)</f>
        <v>37165</v>
      </c>
      <c r="F175" s="4">
        <f t="shared" si="2"/>
        <v>37165</v>
      </c>
      <c r="G175" s="1">
        <f>_xlfn.XLOOKUP(D175,Products!$B$2:$B$21,Products!$A$2:$A$21,,0)</f>
        <v>19</v>
      </c>
    </row>
    <row r="176" spans="1:7" x14ac:dyDescent="0.3">
      <c r="A176" s="1">
        <v>5175</v>
      </c>
      <c r="B176" s="1">
        <v>1</v>
      </c>
      <c r="C176" s="4">
        <v>3</v>
      </c>
      <c r="D176" s="1" t="str">
        <f>_xlfn.XLOOKUP(B176,Products!$A$2:$A$21,Products!$B$2:$B$21,,0)</f>
        <v>Laptop</v>
      </c>
      <c r="E176" s="1">
        <f>_xlfn.XLOOKUP(D176,Products!$B$2:$B$21,Products!$C$2:$C$21,,0)</f>
        <v>34130</v>
      </c>
      <c r="F176" s="4">
        <f t="shared" si="2"/>
        <v>102390</v>
      </c>
      <c r="G176" s="1">
        <f>_xlfn.XLOOKUP(D176,Products!$B$2:$B$21,Products!$A$2:$A$21,,0)</f>
        <v>1</v>
      </c>
    </row>
    <row r="177" spans="1:7" x14ac:dyDescent="0.3">
      <c r="A177" s="1">
        <v>5176</v>
      </c>
      <c r="B177" s="1">
        <v>8</v>
      </c>
      <c r="C177" s="4">
        <v>1</v>
      </c>
      <c r="D177" s="1" t="str">
        <f>_xlfn.XLOOKUP(B177,Products!$A$2:$A$21,Products!$B$2:$B$21,,0)</f>
        <v>Printer</v>
      </c>
      <c r="E177" s="1">
        <f>_xlfn.XLOOKUP(D177,Products!$B$2:$B$21,Products!$C$2:$C$21,,0)</f>
        <v>31589</v>
      </c>
      <c r="F177" s="4">
        <f t="shared" si="2"/>
        <v>31589</v>
      </c>
      <c r="G177" s="1">
        <f>_xlfn.XLOOKUP(D177,Products!$B$2:$B$21,Products!$A$2:$A$21,,0)</f>
        <v>8</v>
      </c>
    </row>
    <row r="178" spans="1:7" x14ac:dyDescent="0.3">
      <c r="A178" s="1">
        <v>5177</v>
      </c>
      <c r="B178" s="1">
        <v>13</v>
      </c>
      <c r="C178" s="4">
        <v>2</v>
      </c>
      <c r="D178" s="1" t="str">
        <f>_xlfn.XLOOKUP(B178,Products!$A$2:$A$21,Products!$B$2:$B$21,,0)</f>
        <v>Pen</v>
      </c>
      <c r="E178" s="1">
        <f>_xlfn.XLOOKUP(D178,Products!$B$2:$B$21,Products!$C$2:$C$21,,0)</f>
        <v>3900</v>
      </c>
      <c r="F178" s="4">
        <f t="shared" si="2"/>
        <v>7800</v>
      </c>
      <c r="G178" s="1">
        <f>_xlfn.XLOOKUP(D178,Products!$B$2:$B$21,Products!$A$2:$A$21,,0)</f>
        <v>13</v>
      </c>
    </row>
    <row r="179" spans="1:7" x14ac:dyDescent="0.3">
      <c r="A179" s="1">
        <v>5178</v>
      </c>
      <c r="B179" s="1">
        <v>15</v>
      </c>
      <c r="C179" s="4">
        <v>4</v>
      </c>
      <c r="D179" s="1" t="str">
        <f>_xlfn.XLOOKUP(B179,Products!$A$2:$A$21,Products!$B$2:$B$21,,0)</f>
        <v>Bag</v>
      </c>
      <c r="E179" s="1">
        <f>_xlfn.XLOOKUP(D179,Products!$B$2:$B$21,Products!$C$2:$C$21,,0)</f>
        <v>12567</v>
      </c>
      <c r="F179" s="4">
        <f t="shared" si="2"/>
        <v>50268</v>
      </c>
      <c r="G179" s="1">
        <f>_xlfn.XLOOKUP(D179,Products!$B$2:$B$21,Products!$A$2:$A$21,,0)</f>
        <v>15</v>
      </c>
    </row>
    <row r="180" spans="1:7" x14ac:dyDescent="0.3">
      <c r="A180" s="1">
        <v>5179</v>
      </c>
      <c r="B180" s="1">
        <v>9</v>
      </c>
      <c r="C180" s="4">
        <v>2</v>
      </c>
      <c r="D180" s="1" t="str">
        <f>_xlfn.XLOOKUP(B180,Products!$A$2:$A$21,Products!$B$2:$B$21,,0)</f>
        <v>Desk</v>
      </c>
      <c r="E180" s="1">
        <f>_xlfn.XLOOKUP(D180,Products!$B$2:$B$21,Products!$C$2:$C$21,,0)</f>
        <v>15870</v>
      </c>
      <c r="F180" s="4">
        <f t="shared" si="2"/>
        <v>31740</v>
      </c>
      <c r="G180" s="1">
        <f>_xlfn.XLOOKUP(D180,Products!$B$2:$B$21,Products!$A$2:$A$21,,0)</f>
        <v>9</v>
      </c>
    </row>
    <row r="181" spans="1:7" x14ac:dyDescent="0.3">
      <c r="A181" s="1">
        <v>5180</v>
      </c>
      <c r="B181" s="1">
        <v>20</v>
      </c>
      <c r="C181" s="4">
        <v>4</v>
      </c>
      <c r="D181" s="1" t="str">
        <f>_xlfn.XLOOKUP(B181,Products!$A$2:$A$21,Products!$B$2:$B$21,,0)</f>
        <v>SSD</v>
      </c>
      <c r="E181" s="1">
        <f>_xlfn.XLOOKUP(D181,Products!$B$2:$B$21,Products!$C$2:$C$21,,0)</f>
        <v>10724</v>
      </c>
      <c r="F181" s="4">
        <f t="shared" si="2"/>
        <v>42896</v>
      </c>
      <c r="G181" s="1">
        <f>_xlfn.XLOOKUP(D181,Products!$B$2:$B$21,Products!$A$2:$A$21,,0)</f>
        <v>20</v>
      </c>
    </row>
    <row r="182" spans="1:7" x14ac:dyDescent="0.3">
      <c r="A182" s="1">
        <v>5181</v>
      </c>
      <c r="B182" s="1">
        <v>18</v>
      </c>
      <c r="C182" s="4">
        <v>4</v>
      </c>
      <c r="D182" s="1" t="str">
        <f>_xlfn.XLOOKUP(B182,Products!$A$2:$A$21,Products!$B$2:$B$21,,0)</f>
        <v>Speaker</v>
      </c>
      <c r="E182" s="1">
        <f>_xlfn.XLOOKUP(D182,Products!$B$2:$B$21,Products!$C$2:$C$21,,0)</f>
        <v>28829</v>
      </c>
      <c r="F182" s="4">
        <f t="shared" si="2"/>
        <v>115316</v>
      </c>
      <c r="G182" s="1">
        <f>_xlfn.XLOOKUP(D182,Products!$B$2:$B$21,Products!$A$2:$A$21,,0)</f>
        <v>18</v>
      </c>
    </row>
    <row r="183" spans="1:7" x14ac:dyDescent="0.3">
      <c r="A183" s="1">
        <v>5182</v>
      </c>
      <c r="B183" s="1">
        <v>19</v>
      </c>
      <c r="C183" s="4">
        <v>5</v>
      </c>
      <c r="D183" s="1" t="str">
        <f>_xlfn.XLOOKUP(B183,Products!$A$2:$A$21,Products!$B$2:$B$21,,0)</f>
        <v>Router</v>
      </c>
      <c r="E183" s="1">
        <f>_xlfn.XLOOKUP(D183,Products!$B$2:$B$21,Products!$C$2:$C$21,,0)</f>
        <v>37165</v>
      </c>
      <c r="F183" s="4">
        <f t="shared" si="2"/>
        <v>185825</v>
      </c>
      <c r="G183" s="1">
        <f>_xlfn.XLOOKUP(D183,Products!$B$2:$B$21,Products!$A$2:$A$21,,0)</f>
        <v>19</v>
      </c>
    </row>
    <row r="184" spans="1:7" x14ac:dyDescent="0.3">
      <c r="A184" s="1">
        <v>5183</v>
      </c>
      <c r="B184" s="1">
        <v>14</v>
      </c>
      <c r="C184" s="4">
        <v>2</v>
      </c>
      <c r="D184" s="1" t="str">
        <f>_xlfn.XLOOKUP(B184,Products!$A$2:$A$21,Products!$B$2:$B$21,,0)</f>
        <v>Book</v>
      </c>
      <c r="E184" s="1">
        <f>_xlfn.XLOOKUP(D184,Products!$B$2:$B$21,Products!$C$2:$C$21,,0)</f>
        <v>23213</v>
      </c>
      <c r="F184" s="4">
        <f t="shared" si="2"/>
        <v>46426</v>
      </c>
      <c r="G184" s="1">
        <f>_xlfn.XLOOKUP(D184,Products!$B$2:$B$21,Products!$A$2:$A$21,,0)</f>
        <v>14</v>
      </c>
    </row>
    <row r="185" spans="1:7" x14ac:dyDescent="0.3">
      <c r="A185" s="1">
        <v>5184</v>
      </c>
      <c r="B185" s="1">
        <v>13</v>
      </c>
      <c r="C185" s="4">
        <v>1</v>
      </c>
      <c r="D185" s="1" t="str">
        <f>_xlfn.XLOOKUP(B185,Products!$A$2:$A$21,Products!$B$2:$B$21,,0)</f>
        <v>Pen</v>
      </c>
      <c r="E185" s="1">
        <f>_xlfn.XLOOKUP(D185,Products!$B$2:$B$21,Products!$C$2:$C$21,,0)</f>
        <v>3900</v>
      </c>
      <c r="F185" s="4">
        <f t="shared" si="2"/>
        <v>3900</v>
      </c>
      <c r="G185" s="1">
        <f>_xlfn.XLOOKUP(D185,Products!$B$2:$B$21,Products!$A$2:$A$21,,0)</f>
        <v>13</v>
      </c>
    </row>
    <row r="186" spans="1:7" x14ac:dyDescent="0.3">
      <c r="A186" s="1">
        <v>5185</v>
      </c>
      <c r="B186" s="1">
        <v>6</v>
      </c>
      <c r="C186" s="4">
        <v>4</v>
      </c>
      <c r="D186" s="1" t="str">
        <f>_xlfn.XLOOKUP(B186,Products!$A$2:$A$21,Products!$B$2:$B$21,,0)</f>
        <v>Phone</v>
      </c>
      <c r="E186" s="1">
        <f>_xlfn.XLOOKUP(D186,Products!$B$2:$B$21,Products!$C$2:$C$21,,0)</f>
        <v>10250</v>
      </c>
      <c r="F186" s="4">
        <f t="shared" si="2"/>
        <v>41000</v>
      </c>
      <c r="G186" s="1">
        <f>_xlfn.XLOOKUP(D186,Products!$B$2:$B$21,Products!$A$2:$A$21,,0)</f>
        <v>6</v>
      </c>
    </row>
    <row r="187" spans="1:7" x14ac:dyDescent="0.3">
      <c r="A187" s="1">
        <v>5186</v>
      </c>
      <c r="B187" s="1">
        <v>14</v>
      </c>
      <c r="C187" s="4">
        <v>4</v>
      </c>
      <c r="D187" s="1" t="str">
        <f>_xlfn.XLOOKUP(B187,Products!$A$2:$A$21,Products!$B$2:$B$21,,0)</f>
        <v>Book</v>
      </c>
      <c r="E187" s="1">
        <f>_xlfn.XLOOKUP(D187,Products!$B$2:$B$21,Products!$C$2:$C$21,,0)</f>
        <v>23213</v>
      </c>
      <c r="F187" s="4">
        <f t="shared" si="2"/>
        <v>92852</v>
      </c>
      <c r="G187" s="1">
        <f>_xlfn.XLOOKUP(D187,Products!$B$2:$B$21,Products!$A$2:$A$21,,0)</f>
        <v>14</v>
      </c>
    </row>
    <row r="188" spans="1:7" x14ac:dyDescent="0.3">
      <c r="A188" s="1">
        <v>5187</v>
      </c>
      <c r="B188" s="1">
        <v>19</v>
      </c>
      <c r="C188" s="4">
        <v>4</v>
      </c>
      <c r="D188" s="1" t="str">
        <f>_xlfn.XLOOKUP(B188,Products!$A$2:$A$21,Products!$B$2:$B$21,,0)</f>
        <v>Router</v>
      </c>
      <c r="E188" s="1">
        <f>_xlfn.XLOOKUP(D188,Products!$B$2:$B$21,Products!$C$2:$C$21,,0)</f>
        <v>37165</v>
      </c>
      <c r="F188" s="4">
        <f t="shared" si="2"/>
        <v>148660</v>
      </c>
      <c r="G188" s="1">
        <f>_xlfn.XLOOKUP(D188,Products!$B$2:$B$21,Products!$A$2:$A$21,,0)</f>
        <v>19</v>
      </c>
    </row>
    <row r="189" spans="1:7" x14ac:dyDescent="0.3">
      <c r="A189" s="1">
        <v>5188</v>
      </c>
      <c r="B189" s="1">
        <v>7</v>
      </c>
      <c r="C189" s="4">
        <v>5</v>
      </c>
      <c r="D189" s="1" t="str">
        <f>_xlfn.XLOOKUP(B189,Products!$A$2:$A$21,Products!$B$2:$B$21,,0)</f>
        <v>Camera</v>
      </c>
      <c r="E189" s="1">
        <f>_xlfn.XLOOKUP(D189,Products!$B$2:$B$21,Products!$C$2:$C$21,,0)</f>
        <v>34857</v>
      </c>
      <c r="F189" s="4">
        <f t="shared" si="2"/>
        <v>174285</v>
      </c>
      <c r="G189" s="1">
        <f>_xlfn.XLOOKUP(D189,Products!$B$2:$B$21,Products!$A$2:$A$21,,0)</f>
        <v>7</v>
      </c>
    </row>
    <row r="190" spans="1:7" x14ac:dyDescent="0.3">
      <c r="A190" s="1">
        <v>5189</v>
      </c>
      <c r="B190" s="1">
        <v>3</v>
      </c>
      <c r="C190" s="4">
        <v>5</v>
      </c>
      <c r="D190" s="1" t="str">
        <f>_xlfn.XLOOKUP(B190,Products!$A$2:$A$21,Products!$B$2:$B$21,,0)</f>
        <v>Keyboard</v>
      </c>
      <c r="E190" s="1">
        <f>_xlfn.XLOOKUP(D190,Products!$B$2:$B$21,Products!$C$2:$C$21,,0)</f>
        <v>26587</v>
      </c>
      <c r="F190" s="4">
        <f t="shared" si="2"/>
        <v>132935</v>
      </c>
      <c r="G190" s="1">
        <f>_xlfn.XLOOKUP(D190,Products!$B$2:$B$21,Products!$A$2:$A$21,,0)</f>
        <v>3</v>
      </c>
    </row>
    <row r="191" spans="1:7" x14ac:dyDescent="0.3">
      <c r="A191" s="1">
        <v>5190</v>
      </c>
      <c r="B191" s="1">
        <v>11</v>
      </c>
      <c r="C191" s="4">
        <v>1</v>
      </c>
      <c r="D191" s="1" t="str">
        <f>_xlfn.XLOOKUP(B191,Products!$A$2:$A$21,Products!$B$2:$B$21,,0)</f>
        <v>Fan</v>
      </c>
      <c r="E191" s="1">
        <f>_xlfn.XLOOKUP(D191,Products!$B$2:$B$21,Products!$C$2:$C$21,,0)</f>
        <v>45046</v>
      </c>
      <c r="F191" s="4">
        <f t="shared" si="2"/>
        <v>45046</v>
      </c>
      <c r="G191" s="1">
        <f>_xlfn.XLOOKUP(D191,Products!$B$2:$B$21,Products!$A$2:$A$21,,0)</f>
        <v>11</v>
      </c>
    </row>
    <row r="192" spans="1:7" x14ac:dyDescent="0.3">
      <c r="A192" s="1">
        <v>5191</v>
      </c>
      <c r="B192" s="1">
        <v>14</v>
      </c>
      <c r="C192" s="4">
        <v>5</v>
      </c>
      <c r="D192" s="1" t="str">
        <f>_xlfn.XLOOKUP(B192,Products!$A$2:$A$21,Products!$B$2:$B$21,,0)</f>
        <v>Book</v>
      </c>
      <c r="E192" s="1">
        <f>_xlfn.XLOOKUP(D192,Products!$B$2:$B$21,Products!$C$2:$C$21,,0)</f>
        <v>23213</v>
      </c>
      <c r="F192" s="4">
        <f t="shared" si="2"/>
        <v>116065</v>
      </c>
      <c r="G192" s="1">
        <f>_xlfn.XLOOKUP(D192,Products!$B$2:$B$21,Products!$A$2:$A$21,,0)</f>
        <v>14</v>
      </c>
    </row>
    <row r="193" spans="1:7" x14ac:dyDescent="0.3">
      <c r="A193" s="1">
        <v>5192</v>
      </c>
      <c r="B193" s="1">
        <v>17</v>
      </c>
      <c r="C193" s="4">
        <v>2</v>
      </c>
      <c r="D193" s="1" t="str">
        <f>_xlfn.XLOOKUP(B193,Products!$A$2:$A$21,Products!$B$2:$B$21,,0)</f>
        <v>TV</v>
      </c>
      <c r="E193" s="1">
        <f>_xlfn.XLOOKUP(D193,Products!$B$2:$B$21,Products!$C$2:$C$21,,0)</f>
        <v>25434</v>
      </c>
      <c r="F193" s="4">
        <f t="shared" si="2"/>
        <v>50868</v>
      </c>
      <c r="G193" s="1">
        <f>_xlfn.XLOOKUP(D193,Products!$B$2:$B$21,Products!$A$2:$A$21,,0)</f>
        <v>17</v>
      </c>
    </row>
    <row r="194" spans="1:7" x14ac:dyDescent="0.3">
      <c r="A194" s="1">
        <v>5193</v>
      </c>
      <c r="B194" s="1">
        <v>19</v>
      </c>
      <c r="C194" s="4">
        <v>1</v>
      </c>
      <c r="D194" s="1" t="str">
        <f>_xlfn.XLOOKUP(B194,Products!$A$2:$A$21,Products!$B$2:$B$21,,0)</f>
        <v>Router</v>
      </c>
      <c r="E194" s="1">
        <f>_xlfn.XLOOKUP(D194,Products!$B$2:$B$21,Products!$C$2:$C$21,,0)</f>
        <v>37165</v>
      </c>
      <c r="F194" s="4">
        <f t="shared" si="2"/>
        <v>37165</v>
      </c>
      <c r="G194" s="1">
        <f>_xlfn.XLOOKUP(D194,Products!$B$2:$B$21,Products!$A$2:$A$21,,0)</f>
        <v>19</v>
      </c>
    </row>
    <row r="195" spans="1:7" x14ac:dyDescent="0.3">
      <c r="A195" s="1">
        <v>5194</v>
      </c>
      <c r="B195" s="1">
        <v>15</v>
      </c>
      <c r="C195" s="4">
        <v>1</v>
      </c>
      <c r="D195" s="1" t="str">
        <f>_xlfn.XLOOKUP(B195,Products!$A$2:$A$21,Products!$B$2:$B$21,,0)</f>
        <v>Bag</v>
      </c>
      <c r="E195" s="1">
        <f>_xlfn.XLOOKUP(D195,Products!$B$2:$B$21,Products!$C$2:$C$21,,0)</f>
        <v>12567</v>
      </c>
      <c r="F195" s="4">
        <f t="shared" ref="F195:F201" si="3">C195*E195</f>
        <v>12567</v>
      </c>
      <c r="G195" s="1">
        <f>_xlfn.XLOOKUP(D195,Products!$B$2:$B$21,Products!$A$2:$A$21,,0)</f>
        <v>15</v>
      </c>
    </row>
    <row r="196" spans="1:7" x14ac:dyDescent="0.3">
      <c r="A196" s="1">
        <v>5195</v>
      </c>
      <c r="B196" s="1">
        <v>13</v>
      </c>
      <c r="C196" s="4">
        <v>2</v>
      </c>
      <c r="D196" s="1" t="str">
        <f>_xlfn.XLOOKUP(B196,Products!$A$2:$A$21,Products!$B$2:$B$21,,0)</f>
        <v>Pen</v>
      </c>
      <c r="E196" s="1">
        <f>_xlfn.XLOOKUP(D196,Products!$B$2:$B$21,Products!$C$2:$C$21,,0)</f>
        <v>3900</v>
      </c>
      <c r="F196" s="4">
        <f t="shared" si="3"/>
        <v>7800</v>
      </c>
      <c r="G196" s="1">
        <f>_xlfn.XLOOKUP(D196,Products!$B$2:$B$21,Products!$A$2:$A$21,,0)</f>
        <v>13</v>
      </c>
    </row>
    <row r="197" spans="1:7" x14ac:dyDescent="0.3">
      <c r="A197" s="1">
        <v>5196</v>
      </c>
      <c r="B197" s="1">
        <v>5</v>
      </c>
      <c r="C197" s="4">
        <v>4</v>
      </c>
      <c r="D197" s="1" t="str">
        <f>_xlfn.XLOOKUP(B197,Products!$A$2:$A$21,Products!$B$2:$B$21,,0)</f>
        <v>Tablet</v>
      </c>
      <c r="E197" s="1">
        <f>_xlfn.XLOOKUP(D197,Products!$B$2:$B$21,Products!$C$2:$C$21,,0)</f>
        <v>13509</v>
      </c>
      <c r="F197" s="4">
        <f t="shared" si="3"/>
        <v>54036</v>
      </c>
      <c r="G197" s="1">
        <f>_xlfn.XLOOKUP(D197,Products!$B$2:$B$21,Products!$A$2:$A$21,,0)</f>
        <v>5</v>
      </c>
    </row>
    <row r="198" spans="1:7" x14ac:dyDescent="0.3">
      <c r="A198" s="1">
        <v>5197</v>
      </c>
      <c r="B198" s="1">
        <v>1</v>
      </c>
      <c r="C198" s="4">
        <v>2</v>
      </c>
      <c r="D198" s="1" t="str">
        <f>_xlfn.XLOOKUP(B198,Products!$A$2:$A$21,Products!$B$2:$B$21,,0)</f>
        <v>Laptop</v>
      </c>
      <c r="E198" s="1">
        <f>_xlfn.XLOOKUP(D198,Products!$B$2:$B$21,Products!$C$2:$C$21,,0)</f>
        <v>34130</v>
      </c>
      <c r="F198" s="4">
        <f t="shared" si="3"/>
        <v>68260</v>
      </c>
      <c r="G198" s="1">
        <f>_xlfn.XLOOKUP(D198,Products!$B$2:$B$21,Products!$A$2:$A$21,,0)</f>
        <v>1</v>
      </c>
    </row>
    <row r="199" spans="1:7" x14ac:dyDescent="0.3">
      <c r="A199" s="1">
        <v>5198</v>
      </c>
      <c r="B199" s="1">
        <v>15</v>
      </c>
      <c r="C199" s="4">
        <v>3</v>
      </c>
      <c r="D199" s="1" t="str">
        <f>_xlfn.XLOOKUP(B199,Products!$A$2:$A$21,Products!$B$2:$B$21,,0)</f>
        <v>Bag</v>
      </c>
      <c r="E199" s="1">
        <f>_xlfn.XLOOKUP(D199,Products!$B$2:$B$21,Products!$C$2:$C$21,,0)</f>
        <v>12567</v>
      </c>
      <c r="F199" s="4">
        <f t="shared" si="3"/>
        <v>37701</v>
      </c>
      <c r="G199" s="1">
        <f>_xlfn.XLOOKUP(D199,Products!$B$2:$B$21,Products!$A$2:$A$21,,0)</f>
        <v>15</v>
      </c>
    </row>
    <row r="200" spans="1:7" x14ac:dyDescent="0.3">
      <c r="A200" s="1">
        <v>5199</v>
      </c>
      <c r="B200" s="1">
        <v>18</v>
      </c>
      <c r="C200" s="4">
        <v>1</v>
      </c>
      <c r="D200" s="1" t="str">
        <f>_xlfn.XLOOKUP(B200,Products!$A$2:$A$21,Products!$B$2:$B$21,,0)</f>
        <v>Speaker</v>
      </c>
      <c r="E200" s="1">
        <f>_xlfn.XLOOKUP(D200,Products!$B$2:$B$21,Products!$C$2:$C$21,,0)</f>
        <v>28829</v>
      </c>
      <c r="F200" s="4">
        <f t="shared" si="3"/>
        <v>28829</v>
      </c>
      <c r="G200" s="1">
        <f>_xlfn.XLOOKUP(D200,Products!$B$2:$B$21,Products!$A$2:$A$21,,0)</f>
        <v>18</v>
      </c>
    </row>
    <row r="201" spans="1:7" x14ac:dyDescent="0.3">
      <c r="A201" s="1">
        <v>5200</v>
      </c>
      <c r="B201" s="1">
        <v>12</v>
      </c>
      <c r="C201" s="4">
        <v>4</v>
      </c>
      <c r="D201" s="1" t="str">
        <f>_xlfn.XLOOKUP(B201,Products!$A$2:$A$21,Products!$B$2:$B$21,,0)</f>
        <v>AC</v>
      </c>
      <c r="E201" s="1">
        <f>_xlfn.XLOOKUP(D201,Products!$B$2:$B$21,Products!$C$2:$C$21,,0)</f>
        <v>32456</v>
      </c>
      <c r="F201" s="4">
        <f t="shared" si="3"/>
        <v>129824</v>
      </c>
      <c r="G201" s="1">
        <f>_xlfn.XLOOKUP(D201,Products!$B$2:$B$21,Products!$A$2:$A$21,,0)</f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7D0A-4DAF-4A6D-A228-61B291359EF4}">
  <dimension ref="A1:P201"/>
  <sheetViews>
    <sheetView topLeftCell="B1" workbookViewId="0">
      <selection activeCell="B5" sqref="A1:F201"/>
    </sheetView>
  </sheetViews>
  <sheetFormatPr defaultRowHeight="14.4" x14ac:dyDescent="0.3"/>
  <cols>
    <col min="1" max="1" width="8.5546875" bestFit="1" customWidth="1"/>
    <col min="2" max="2" width="10.44140625" bestFit="1" customWidth="1"/>
    <col min="3" max="3" width="8.33203125" bestFit="1" customWidth="1"/>
    <col min="4" max="4" width="13.5546875" bestFit="1" customWidth="1"/>
    <col min="5" max="5" width="6" bestFit="1" customWidth="1"/>
    <col min="6" max="6" width="10.33203125" bestFit="1" customWidth="1"/>
    <col min="12" max="12" width="18.44140625" bestFit="1" customWidth="1"/>
    <col min="15" max="15" width="18.44140625" bestFit="1" customWidth="1"/>
    <col min="16" max="16" width="18.5546875" bestFit="1" customWidth="1"/>
  </cols>
  <sheetData>
    <row r="1" spans="1:16" x14ac:dyDescent="0.3">
      <c r="A1" s="2" t="s">
        <v>0</v>
      </c>
      <c r="B1" s="2" t="s">
        <v>1</v>
      </c>
      <c r="C1" s="3" t="s">
        <v>2</v>
      </c>
      <c r="D1" s="5" t="s">
        <v>25</v>
      </c>
      <c r="E1" s="5" t="s">
        <v>4</v>
      </c>
      <c r="F1" s="6" t="s">
        <v>26</v>
      </c>
    </row>
    <row r="2" spans="1:16" x14ac:dyDescent="0.3">
      <c r="A2" s="1">
        <v>5001</v>
      </c>
      <c r="B2" s="1">
        <v>3</v>
      </c>
      <c r="C2" s="4">
        <v>2</v>
      </c>
      <c r="D2" s="1" t="str">
        <f>_xlfn.XLOOKUP(B2,Products!$A$2:$A$21,Products!$B$2:$B$21,,0)</f>
        <v>Keyboard</v>
      </c>
      <c r="E2" s="1">
        <f>_xlfn.XLOOKUP(D2,Products!$B$2:$B$21,Products!$C$2:$C$21,,0)</f>
        <v>26587</v>
      </c>
      <c r="F2" s="4">
        <f>C2*E2</f>
        <v>53174</v>
      </c>
    </row>
    <row r="3" spans="1:16" x14ac:dyDescent="0.3">
      <c r="A3" s="1">
        <v>5002</v>
      </c>
      <c r="B3" s="1">
        <v>11</v>
      </c>
      <c r="C3" s="4">
        <v>1</v>
      </c>
      <c r="D3" s="1" t="str">
        <f>_xlfn.XLOOKUP(B3,Products!$A$2:$A$21,Products!$B$2:$B$21,,0)</f>
        <v>Fan</v>
      </c>
      <c r="E3" s="1">
        <f>_xlfn.XLOOKUP(D3,Products!$B$2:$B$21,Products!$C$2:$C$21,,0)</f>
        <v>45046</v>
      </c>
      <c r="F3" s="4">
        <f t="shared" ref="F3:F66" si="0">C3*E3</f>
        <v>45046</v>
      </c>
    </row>
    <row r="4" spans="1:16" x14ac:dyDescent="0.3">
      <c r="A4" s="1">
        <v>5003</v>
      </c>
      <c r="B4" s="1">
        <v>2</v>
      </c>
      <c r="C4" s="4">
        <v>5</v>
      </c>
      <c r="D4" s="1" t="str">
        <f>_xlfn.XLOOKUP(B4,Products!$A$2:$A$21,Products!$B$2:$B$21,,0)</f>
        <v>Mouse</v>
      </c>
      <c r="E4" s="1">
        <f>_xlfn.XLOOKUP(D4,Products!$B$2:$B$21,Products!$C$2:$C$21,,0)</f>
        <v>40685</v>
      </c>
      <c r="F4" s="4">
        <f t="shared" si="0"/>
        <v>203425</v>
      </c>
    </row>
    <row r="5" spans="1:16" x14ac:dyDescent="0.3">
      <c r="A5" s="1">
        <v>5004</v>
      </c>
      <c r="B5" s="1">
        <v>4</v>
      </c>
      <c r="C5" s="4">
        <v>5</v>
      </c>
      <c r="D5" s="1" t="str">
        <f>_xlfn.XLOOKUP(B5,Products!$A$2:$A$21,Products!$B$2:$B$21,,0)</f>
        <v>Monitor</v>
      </c>
      <c r="E5" s="1">
        <f>_xlfn.XLOOKUP(D5,Products!$B$2:$B$21,Products!$C$2:$C$21,,0)</f>
        <v>30181</v>
      </c>
      <c r="F5" s="4">
        <f t="shared" si="0"/>
        <v>150905</v>
      </c>
    </row>
    <row r="6" spans="1:16" x14ac:dyDescent="0.3">
      <c r="A6" s="1">
        <v>5005</v>
      </c>
      <c r="B6" s="1">
        <v>14</v>
      </c>
      <c r="C6" s="4">
        <v>5</v>
      </c>
      <c r="D6" s="1" t="str">
        <f>_xlfn.XLOOKUP(B6,Products!$A$2:$A$21,Products!$B$2:$B$21,,0)</f>
        <v>Book</v>
      </c>
      <c r="E6" s="1">
        <f>_xlfn.XLOOKUP(D6,Products!$B$2:$B$21,Products!$C$2:$C$21,,0)</f>
        <v>23213</v>
      </c>
      <c r="F6" s="4">
        <f t="shared" si="0"/>
        <v>116065</v>
      </c>
    </row>
    <row r="7" spans="1:16" x14ac:dyDescent="0.3">
      <c r="A7" s="1">
        <v>5006</v>
      </c>
      <c r="B7" s="1">
        <v>5</v>
      </c>
      <c r="C7" s="4">
        <v>5</v>
      </c>
      <c r="D7" s="1" t="str">
        <f>_xlfn.XLOOKUP(B7,Products!$A$2:$A$21,Products!$B$2:$B$21,,0)</f>
        <v>Tablet</v>
      </c>
      <c r="E7" s="1">
        <f>_xlfn.XLOOKUP(D7,Products!$B$2:$B$21,Products!$C$2:$C$21,,0)</f>
        <v>13509</v>
      </c>
      <c r="F7" s="4">
        <f t="shared" si="0"/>
        <v>67545</v>
      </c>
    </row>
    <row r="8" spans="1:16" x14ac:dyDescent="0.3">
      <c r="A8" s="1">
        <v>5007</v>
      </c>
      <c r="B8" s="1">
        <v>3</v>
      </c>
      <c r="C8" s="4">
        <v>3</v>
      </c>
      <c r="D8" s="1" t="str">
        <f>_xlfn.XLOOKUP(B8,Products!$A$2:$A$21,Products!$B$2:$B$21,,0)</f>
        <v>Keyboard</v>
      </c>
      <c r="E8" s="1">
        <f>_xlfn.XLOOKUP(D8,Products!$B$2:$B$21,Products!$C$2:$C$21,,0)</f>
        <v>26587</v>
      </c>
      <c r="F8" s="4">
        <f t="shared" si="0"/>
        <v>79761</v>
      </c>
    </row>
    <row r="9" spans="1:16" x14ac:dyDescent="0.3">
      <c r="A9" s="1">
        <v>5008</v>
      </c>
      <c r="B9" s="1">
        <v>8</v>
      </c>
      <c r="C9" s="4">
        <v>1</v>
      </c>
      <c r="D9" s="1" t="str">
        <f>_xlfn.XLOOKUP(B9,Products!$A$2:$A$21,Products!$B$2:$B$21,,0)</f>
        <v>Printer</v>
      </c>
      <c r="E9" s="1">
        <f>_xlfn.XLOOKUP(D9,Products!$B$2:$B$21,Products!$C$2:$C$21,,0)</f>
        <v>31589</v>
      </c>
      <c r="F9" s="4">
        <f t="shared" si="0"/>
        <v>31589</v>
      </c>
      <c r="O9" s="9"/>
      <c r="P9" s="9"/>
    </row>
    <row r="10" spans="1:16" x14ac:dyDescent="0.3">
      <c r="A10" s="1">
        <v>5009</v>
      </c>
      <c r="B10" s="1">
        <v>6</v>
      </c>
      <c r="C10" s="4">
        <v>5</v>
      </c>
      <c r="D10" s="1" t="str">
        <f>_xlfn.XLOOKUP(B10,Products!$A$2:$A$21,Products!$B$2:$B$21,,0)</f>
        <v>Phone</v>
      </c>
      <c r="E10" s="1">
        <f>_xlfn.XLOOKUP(D10,Products!$B$2:$B$21,Products!$C$2:$C$21,,0)</f>
        <v>10250</v>
      </c>
      <c r="F10" s="4">
        <f t="shared" si="0"/>
        <v>51250</v>
      </c>
      <c r="L10" s="7" t="s">
        <v>28</v>
      </c>
      <c r="M10" s="7" t="s">
        <v>4</v>
      </c>
      <c r="O10" s="10"/>
      <c r="P10" s="10"/>
    </row>
    <row r="11" spans="1:16" x14ac:dyDescent="0.3">
      <c r="A11" s="1">
        <v>5010</v>
      </c>
      <c r="B11" s="1">
        <v>16</v>
      </c>
      <c r="C11" s="4">
        <v>4</v>
      </c>
      <c r="D11" s="1" t="str">
        <f>_xlfn.XLOOKUP(B11,Products!$A$2:$A$21,Products!$B$2:$B$21,,0)</f>
        <v>Watch</v>
      </c>
      <c r="E11" s="1">
        <f>_xlfn.XLOOKUP(D11,Products!$B$2:$B$21,Products!$C$2:$C$21,,0)</f>
        <v>21553</v>
      </c>
      <c r="F11" s="4">
        <f t="shared" si="0"/>
        <v>86212</v>
      </c>
      <c r="L11" s="1" t="s">
        <v>12</v>
      </c>
      <c r="M11" s="1">
        <f>_xlfn.XLOOKUP(L11,D2:D201,E2:E201,,0)</f>
        <v>31589</v>
      </c>
      <c r="O11" s="11"/>
      <c r="P11" s="11"/>
    </row>
    <row r="12" spans="1:16" x14ac:dyDescent="0.3">
      <c r="A12" s="1">
        <v>5011</v>
      </c>
      <c r="B12" s="1">
        <v>15</v>
      </c>
      <c r="C12" s="4">
        <v>1</v>
      </c>
      <c r="D12" s="1" t="str">
        <f>_xlfn.XLOOKUP(B12,Products!$A$2:$A$21,Products!$B$2:$B$21,,0)</f>
        <v>Bag</v>
      </c>
      <c r="E12" s="1">
        <f>_xlfn.XLOOKUP(D12,Products!$B$2:$B$21,Products!$C$2:$C$21,,0)</f>
        <v>12567</v>
      </c>
      <c r="F12" s="4">
        <f t="shared" si="0"/>
        <v>12567</v>
      </c>
    </row>
    <row r="13" spans="1:16" x14ac:dyDescent="0.3">
      <c r="A13" s="1">
        <v>5012</v>
      </c>
      <c r="B13" s="1">
        <v>12</v>
      </c>
      <c r="C13" s="4">
        <v>4</v>
      </c>
      <c r="D13" s="1" t="str">
        <f>_xlfn.XLOOKUP(B13,Products!$A$2:$A$21,Products!$B$2:$B$21,,0)</f>
        <v>AC</v>
      </c>
      <c r="E13" s="1">
        <f>_xlfn.XLOOKUP(D13,Products!$B$2:$B$21,Products!$C$2:$C$21,,0)</f>
        <v>32456</v>
      </c>
      <c r="F13" s="4">
        <f t="shared" si="0"/>
        <v>129824</v>
      </c>
    </row>
    <row r="14" spans="1:16" x14ac:dyDescent="0.3">
      <c r="A14" s="1">
        <v>5013</v>
      </c>
      <c r="B14" s="1">
        <v>19</v>
      </c>
      <c r="C14" s="4">
        <v>5</v>
      </c>
      <c r="D14" s="1" t="str">
        <f>_xlfn.XLOOKUP(B14,Products!$A$2:$A$21,Products!$B$2:$B$21,,0)</f>
        <v>Router</v>
      </c>
      <c r="E14" s="1">
        <f>_xlfn.XLOOKUP(D14,Products!$B$2:$B$21,Products!$C$2:$C$21,,0)</f>
        <v>37165</v>
      </c>
      <c r="F14" s="4">
        <f t="shared" si="0"/>
        <v>185825</v>
      </c>
    </row>
    <row r="15" spans="1:16" x14ac:dyDescent="0.3">
      <c r="A15" s="1">
        <v>5014</v>
      </c>
      <c r="B15" s="1">
        <v>4</v>
      </c>
      <c r="C15" s="4">
        <v>5</v>
      </c>
      <c r="D15" s="1" t="str">
        <f>_xlfn.XLOOKUP(B15,Products!$A$2:$A$21,Products!$B$2:$B$21,,0)</f>
        <v>Monitor</v>
      </c>
      <c r="E15" s="1">
        <f>_xlfn.XLOOKUP(D15,Products!$B$2:$B$21,Products!$C$2:$C$21,,0)</f>
        <v>30181</v>
      </c>
      <c r="F15" s="4">
        <f t="shared" si="0"/>
        <v>150905</v>
      </c>
    </row>
    <row r="16" spans="1:16" x14ac:dyDescent="0.3">
      <c r="A16" s="1">
        <v>5015</v>
      </c>
      <c r="B16" s="1">
        <v>15</v>
      </c>
      <c r="C16" s="4">
        <v>2</v>
      </c>
      <c r="D16" s="1" t="str">
        <f>_xlfn.XLOOKUP(B16,Products!$A$2:$A$21,Products!$B$2:$B$21,,0)</f>
        <v>Bag</v>
      </c>
      <c r="E16" s="1">
        <f>_xlfn.XLOOKUP(D16,Products!$B$2:$B$21,Products!$C$2:$C$21,,0)</f>
        <v>12567</v>
      </c>
      <c r="F16" s="4">
        <f t="shared" si="0"/>
        <v>25134</v>
      </c>
    </row>
    <row r="17" spans="1:6" x14ac:dyDescent="0.3">
      <c r="A17" s="1">
        <v>5016</v>
      </c>
      <c r="B17" s="1">
        <v>6</v>
      </c>
      <c r="C17" s="4">
        <v>5</v>
      </c>
      <c r="D17" s="1" t="str">
        <f>_xlfn.XLOOKUP(B17,Products!$A$2:$A$21,Products!$B$2:$B$21,,0)</f>
        <v>Phone</v>
      </c>
      <c r="E17" s="1">
        <f>_xlfn.XLOOKUP(D17,Products!$B$2:$B$21,Products!$C$2:$C$21,,0)</f>
        <v>10250</v>
      </c>
      <c r="F17" s="4">
        <f t="shared" si="0"/>
        <v>51250</v>
      </c>
    </row>
    <row r="18" spans="1:6" x14ac:dyDescent="0.3">
      <c r="A18" s="1">
        <v>5017</v>
      </c>
      <c r="B18" s="1">
        <v>4</v>
      </c>
      <c r="C18" s="4">
        <v>4</v>
      </c>
      <c r="D18" s="1" t="str">
        <f>_xlfn.XLOOKUP(B18,Products!$A$2:$A$21,Products!$B$2:$B$21,,0)</f>
        <v>Monitor</v>
      </c>
      <c r="E18" s="1">
        <f>_xlfn.XLOOKUP(D18,Products!$B$2:$B$21,Products!$C$2:$C$21,,0)</f>
        <v>30181</v>
      </c>
      <c r="F18" s="4">
        <f t="shared" si="0"/>
        <v>120724</v>
      </c>
    </row>
    <row r="19" spans="1:6" x14ac:dyDescent="0.3">
      <c r="A19" s="1">
        <v>5018</v>
      </c>
      <c r="B19" s="1">
        <v>5</v>
      </c>
      <c r="C19" s="4">
        <v>4</v>
      </c>
      <c r="D19" s="1" t="str">
        <f>_xlfn.XLOOKUP(B19,Products!$A$2:$A$21,Products!$B$2:$B$21,,0)</f>
        <v>Tablet</v>
      </c>
      <c r="E19" s="1">
        <f>_xlfn.XLOOKUP(D19,Products!$B$2:$B$21,Products!$C$2:$C$21,,0)</f>
        <v>13509</v>
      </c>
      <c r="F19" s="4">
        <f t="shared" si="0"/>
        <v>54036</v>
      </c>
    </row>
    <row r="20" spans="1:6" x14ac:dyDescent="0.3">
      <c r="A20" s="1">
        <v>5019</v>
      </c>
      <c r="B20" s="1">
        <v>17</v>
      </c>
      <c r="C20" s="4">
        <v>3</v>
      </c>
      <c r="D20" s="1" t="str">
        <f>_xlfn.XLOOKUP(B20,Products!$A$2:$A$21,Products!$B$2:$B$21,,0)</f>
        <v>TV</v>
      </c>
      <c r="E20" s="1">
        <f>_xlfn.XLOOKUP(D20,Products!$B$2:$B$21,Products!$C$2:$C$21,,0)</f>
        <v>25434</v>
      </c>
      <c r="F20" s="4">
        <f t="shared" si="0"/>
        <v>76302</v>
      </c>
    </row>
    <row r="21" spans="1:6" x14ac:dyDescent="0.3">
      <c r="A21" s="1">
        <v>5020</v>
      </c>
      <c r="B21" s="1">
        <v>10</v>
      </c>
      <c r="C21" s="4">
        <v>1</v>
      </c>
      <c r="D21" s="1" t="str">
        <f>_xlfn.XLOOKUP(B21,Products!$A$2:$A$21,Products!$B$2:$B$21,,0)</f>
        <v>Chair</v>
      </c>
      <c r="E21" s="1">
        <f>_xlfn.XLOOKUP(D21,Products!$B$2:$B$21,Products!$C$2:$C$21,,0)</f>
        <v>18164</v>
      </c>
      <c r="F21" s="4">
        <f t="shared" si="0"/>
        <v>18164</v>
      </c>
    </row>
    <row r="22" spans="1:6" x14ac:dyDescent="0.3">
      <c r="A22" s="1">
        <v>5021</v>
      </c>
      <c r="B22" s="1">
        <v>7</v>
      </c>
      <c r="C22" s="4">
        <v>2</v>
      </c>
      <c r="D22" s="1" t="str">
        <f>_xlfn.XLOOKUP(B22,Products!$A$2:$A$21,Products!$B$2:$B$21,,0)</f>
        <v>Camera</v>
      </c>
      <c r="E22" s="1">
        <f>_xlfn.XLOOKUP(D22,Products!$B$2:$B$21,Products!$C$2:$C$21,,0)</f>
        <v>34857</v>
      </c>
      <c r="F22" s="4">
        <f t="shared" si="0"/>
        <v>69714</v>
      </c>
    </row>
    <row r="23" spans="1:6" x14ac:dyDescent="0.3">
      <c r="A23" s="1">
        <v>5022</v>
      </c>
      <c r="B23" s="1">
        <v>7</v>
      </c>
      <c r="C23" s="4">
        <v>4</v>
      </c>
      <c r="D23" s="1" t="str">
        <f>_xlfn.XLOOKUP(B23,Products!$A$2:$A$21,Products!$B$2:$B$21,,0)</f>
        <v>Camera</v>
      </c>
      <c r="E23" s="1">
        <f>_xlfn.XLOOKUP(D23,Products!$B$2:$B$21,Products!$C$2:$C$21,,0)</f>
        <v>34857</v>
      </c>
      <c r="F23" s="4">
        <f t="shared" si="0"/>
        <v>139428</v>
      </c>
    </row>
    <row r="24" spans="1:6" x14ac:dyDescent="0.3">
      <c r="A24" s="1">
        <v>5023</v>
      </c>
      <c r="B24" s="1">
        <v>20</v>
      </c>
      <c r="C24" s="4">
        <v>4</v>
      </c>
      <c r="D24" s="1" t="str">
        <f>_xlfn.XLOOKUP(B24,Products!$A$2:$A$21,Products!$B$2:$B$21,,0)</f>
        <v>SSD</v>
      </c>
      <c r="E24" s="1">
        <f>_xlfn.XLOOKUP(D24,Products!$B$2:$B$21,Products!$C$2:$C$21,,0)</f>
        <v>10724</v>
      </c>
      <c r="F24" s="4">
        <f t="shared" si="0"/>
        <v>42896</v>
      </c>
    </row>
    <row r="25" spans="1:6" x14ac:dyDescent="0.3">
      <c r="A25" s="1">
        <v>5024</v>
      </c>
      <c r="B25" s="1">
        <v>12</v>
      </c>
      <c r="C25" s="4">
        <v>4</v>
      </c>
      <c r="D25" s="1" t="str">
        <f>_xlfn.XLOOKUP(B25,Products!$A$2:$A$21,Products!$B$2:$B$21,,0)</f>
        <v>AC</v>
      </c>
      <c r="E25" s="1">
        <f>_xlfn.XLOOKUP(D25,Products!$B$2:$B$21,Products!$C$2:$C$21,,0)</f>
        <v>32456</v>
      </c>
      <c r="F25" s="4">
        <f t="shared" si="0"/>
        <v>129824</v>
      </c>
    </row>
    <row r="26" spans="1:6" x14ac:dyDescent="0.3">
      <c r="A26" s="1">
        <v>5025</v>
      </c>
      <c r="B26" s="1">
        <v>10</v>
      </c>
      <c r="C26" s="4">
        <v>5</v>
      </c>
      <c r="D26" s="1" t="str">
        <f>_xlfn.XLOOKUP(B26,Products!$A$2:$A$21,Products!$B$2:$B$21,,0)</f>
        <v>Chair</v>
      </c>
      <c r="E26" s="1">
        <f>_xlfn.XLOOKUP(D26,Products!$B$2:$B$21,Products!$C$2:$C$21,,0)</f>
        <v>18164</v>
      </c>
      <c r="F26" s="4">
        <f t="shared" si="0"/>
        <v>90820</v>
      </c>
    </row>
    <row r="27" spans="1:6" x14ac:dyDescent="0.3">
      <c r="A27" s="1">
        <v>5026</v>
      </c>
      <c r="B27" s="1">
        <v>3</v>
      </c>
      <c r="C27" s="4">
        <v>4</v>
      </c>
      <c r="D27" s="1" t="str">
        <f>_xlfn.XLOOKUP(B27,Products!$A$2:$A$21,Products!$B$2:$B$21,,0)</f>
        <v>Keyboard</v>
      </c>
      <c r="E27" s="1">
        <f>_xlfn.XLOOKUP(D27,Products!$B$2:$B$21,Products!$C$2:$C$21,,0)</f>
        <v>26587</v>
      </c>
      <c r="F27" s="4">
        <f t="shared" si="0"/>
        <v>106348</v>
      </c>
    </row>
    <row r="28" spans="1:6" x14ac:dyDescent="0.3">
      <c r="A28" s="1">
        <v>5027</v>
      </c>
      <c r="B28" s="1">
        <v>2</v>
      </c>
      <c r="C28" s="4">
        <v>3</v>
      </c>
      <c r="D28" s="1" t="str">
        <f>_xlfn.XLOOKUP(B28,Products!$A$2:$A$21,Products!$B$2:$B$21,,0)</f>
        <v>Mouse</v>
      </c>
      <c r="E28" s="1">
        <f>_xlfn.XLOOKUP(D28,Products!$B$2:$B$21,Products!$C$2:$C$21,,0)</f>
        <v>40685</v>
      </c>
      <c r="F28" s="4">
        <f t="shared" si="0"/>
        <v>122055</v>
      </c>
    </row>
    <row r="29" spans="1:6" x14ac:dyDescent="0.3">
      <c r="A29" s="1">
        <v>5028</v>
      </c>
      <c r="B29" s="1">
        <v>19</v>
      </c>
      <c r="C29" s="4">
        <v>5</v>
      </c>
      <c r="D29" s="1" t="str">
        <f>_xlfn.XLOOKUP(B29,Products!$A$2:$A$21,Products!$B$2:$B$21,,0)</f>
        <v>Router</v>
      </c>
      <c r="E29" s="1">
        <f>_xlfn.XLOOKUP(D29,Products!$B$2:$B$21,Products!$C$2:$C$21,,0)</f>
        <v>37165</v>
      </c>
      <c r="F29" s="4">
        <f t="shared" si="0"/>
        <v>185825</v>
      </c>
    </row>
    <row r="30" spans="1:6" x14ac:dyDescent="0.3">
      <c r="A30" s="1">
        <v>5029</v>
      </c>
      <c r="B30" s="1">
        <v>4</v>
      </c>
      <c r="C30" s="4">
        <v>1</v>
      </c>
      <c r="D30" s="1" t="str">
        <f>_xlfn.XLOOKUP(B30,Products!$A$2:$A$21,Products!$B$2:$B$21,,0)</f>
        <v>Monitor</v>
      </c>
      <c r="E30" s="1">
        <f>_xlfn.XLOOKUP(D30,Products!$B$2:$B$21,Products!$C$2:$C$21,,0)</f>
        <v>30181</v>
      </c>
      <c r="F30" s="4">
        <f t="shared" si="0"/>
        <v>30181</v>
      </c>
    </row>
    <row r="31" spans="1:6" x14ac:dyDescent="0.3">
      <c r="A31" s="1">
        <v>5030</v>
      </c>
      <c r="B31" s="1">
        <v>20</v>
      </c>
      <c r="C31" s="4">
        <v>5</v>
      </c>
      <c r="D31" s="1" t="str">
        <f>_xlfn.XLOOKUP(B31,Products!$A$2:$A$21,Products!$B$2:$B$21,,0)</f>
        <v>SSD</v>
      </c>
      <c r="E31" s="1">
        <f>_xlfn.XLOOKUP(D31,Products!$B$2:$B$21,Products!$C$2:$C$21,,0)</f>
        <v>10724</v>
      </c>
      <c r="F31" s="4">
        <f t="shared" si="0"/>
        <v>53620</v>
      </c>
    </row>
    <row r="32" spans="1:6" x14ac:dyDescent="0.3">
      <c r="A32" s="1">
        <v>5031</v>
      </c>
      <c r="B32" s="1">
        <v>9</v>
      </c>
      <c r="C32" s="4">
        <v>2</v>
      </c>
      <c r="D32" s="1" t="str">
        <f>_xlfn.XLOOKUP(B32,Products!$A$2:$A$21,Products!$B$2:$B$21,,0)</f>
        <v>Desk</v>
      </c>
      <c r="E32" s="1">
        <f>_xlfn.XLOOKUP(D32,Products!$B$2:$B$21,Products!$C$2:$C$21,,0)</f>
        <v>15870</v>
      </c>
      <c r="F32" s="4">
        <f t="shared" si="0"/>
        <v>31740</v>
      </c>
    </row>
    <row r="33" spans="1:6" x14ac:dyDescent="0.3">
      <c r="A33" s="1">
        <v>5032</v>
      </c>
      <c r="B33" s="1">
        <v>7</v>
      </c>
      <c r="C33" s="4">
        <v>4</v>
      </c>
      <c r="D33" s="1" t="str">
        <f>_xlfn.XLOOKUP(B33,Products!$A$2:$A$21,Products!$B$2:$B$21,,0)</f>
        <v>Camera</v>
      </c>
      <c r="E33" s="1">
        <f>_xlfn.XLOOKUP(D33,Products!$B$2:$B$21,Products!$C$2:$C$21,,0)</f>
        <v>34857</v>
      </c>
      <c r="F33" s="4">
        <f t="shared" si="0"/>
        <v>139428</v>
      </c>
    </row>
    <row r="34" spans="1:6" x14ac:dyDescent="0.3">
      <c r="A34" s="1">
        <v>5033</v>
      </c>
      <c r="B34" s="1">
        <v>11</v>
      </c>
      <c r="C34" s="4">
        <v>2</v>
      </c>
      <c r="D34" s="1" t="str">
        <f>_xlfn.XLOOKUP(B34,Products!$A$2:$A$21,Products!$B$2:$B$21,,0)</f>
        <v>Fan</v>
      </c>
      <c r="E34" s="1">
        <f>_xlfn.XLOOKUP(D34,Products!$B$2:$B$21,Products!$C$2:$C$21,,0)</f>
        <v>45046</v>
      </c>
      <c r="F34" s="4">
        <f t="shared" si="0"/>
        <v>90092</v>
      </c>
    </row>
    <row r="35" spans="1:6" x14ac:dyDescent="0.3">
      <c r="A35" s="1">
        <v>5034</v>
      </c>
      <c r="B35" s="1">
        <v>4</v>
      </c>
      <c r="C35" s="4">
        <v>3</v>
      </c>
      <c r="D35" s="1" t="str">
        <f>_xlfn.XLOOKUP(B35,Products!$A$2:$A$21,Products!$B$2:$B$21,,0)</f>
        <v>Monitor</v>
      </c>
      <c r="E35" s="1">
        <f>_xlfn.XLOOKUP(D35,Products!$B$2:$B$21,Products!$C$2:$C$21,,0)</f>
        <v>30181</v>
      </c>
      <c r="F35" s="4">
        <f t="shared" si="0"/>
        <v>90543</v>
      </c>
    </row>
    <row r="36" spans="1:6" x14ac:dyDescent="0.3">
      <c r="A36" s="1">
        <v>5035</v>
      </c>
      <c r="B36" s="1">
        <v>2</v>
      </c>
      <c r="C36" s="4">
        <v>4</v>
      </c>
      <c r="D36" s="1" t="str">
        <f>_xlfn.XLOOKUP(B36,Products!$A$2:$A$21,Products!$B$2:$B$21,,0)</f>
        <v>Mouse</v>
      </c>
      <c r="E36" s="1">
        <f>_xlfn.XLOOKUP(D36,Products!$B$2:$B$21,Products!$C$2:$C$21,,0)</f>
        <v>40685</v>
      </c>
      <c r="F36" s="4">
        <f t="shared" si="0"/>
        <v>162740</v>
      </c>
    </row>
    <row r="37" spans="1:6" x14ac:dyDescent="0.3">
      <c r="A37" s="1">
        <v>5036</v>
      </c>
      <c r="B37" s="1">
        <v>8</v>
      </c>
      <c r="C37" s="4">
        <v>4</v>
      </c>
      <c r="D37" s="1" t="str">
        <f>_xlfn.XLOOKUP(B37,Products!$A$2:$A$21,Products!$B$2:$B$21,,0)</f>
        <v>Printer</v>
      </c>
      <c r="E37" s="1">
        <f>_xlfn.XLOOKUP(D37,Products!$B$2:$B$21,Products!$C$2:$C$21,,0)</f>
        <v>31589</v>
      </c>
      <c r="F37" s="4">
        <f t="shared" si="0"/>
        <v>126356</v>
      </c>
    </row>
    <row r="38" spans="1:6" x14ac:dyDescent="0.3">
      <c r="A38" s="1">
        <v>5037</v>
      </c>
      <c r="B38" s="1">
        <v>4</v>
      </c>
      <c r="C38" s="4">
        <v>2</v>
      </c>
      <c r="D38" s="1" t="str">
        <f>_xlfn.XLOOKUP(B38,Products!$A$2:$A$21,Products!$B$2:$B$21,,0)</f>
        <v>Monitor</v>
      </c>
      <c r="E38" s="1">
        <f>_xlfn.XLOOKUP(D38,Products!$B$2:$B$21,Products!$C$2:$C$21,,0)</f>
        <v>30181</v>
      </c>
      <c r="F38" s="4">
        <f t="shared" si="0"/>
        <v>60362</v>
      </c>
    </row>
    <row r="39" spans="1:6" x14ac:dyDescent="0.3">
      <c r="A39" s="1">
        <v>5038</v>
      </c>
      <c r="B39" s="1">
        <v>18</v>
      </c>
      <c r="C39" s="4">
        <v>2</v>
      </c>
      <c r="D39" s="1" t="str">
        <f>_xlfn.XLOOKUP(B39,Products!$A$2:$A$21,Products!$B$2:$B$21,,0)</f>
        <v>Speaker</v>
      </c>
      <c r="E39" s="1">
        <f>_xlfn.XLOOKUP(D39,Products!$B$2:$B$21,Products!$C$2:$C$21,,0)</f>
        <v>28829</v>
      </c>
      <c r="F39" s="4">
        <f t="shared" si="0"/>
        <v>57658</v>
      </c>
    </row>
    <row r="40" spans="1:6" x14ac:dyDescent="0.3">
      <c r="A40" s="1">
        <v>5039</v>
      </c>
      <c r="B40" s="1">
        <v>5</v>
      </c>
      <c r="C40" s="4">
        <v>4</v>
      </c>
      <c r="D40" s="1" t="str">
        <f>_xlfn.XLOOKUP(B40,Products!$A$2:$A$21,Products!$B$2:$B$21,,0)</f>
        <v>Tablet</v>
      </c>
      <c r="E40" s="1">
        <f>_xlfn.XLOOKUP(D40,Products!$B$2:$B$21,Products!$C$2:$C$21,,0)</f>
        <v>13509</v>
      </c>
      <c r="F40" s="4">
        <f t="shared" si="0"/>
        <v>54036</v>
      </c>
    </row>
    <row r="41" spans="1:6" x14ac:dyDescent="0.3">
      <c r="A41" s="1">
        <v>5040</v>
      </c>
      <c r="B41" s="1">
        <v>8</v>
      </c>
      <c r="C41" s="4">
        <v>1</v>
      </c>
      <c r="D41" s="1" t="str">
        <f>_xlfn.XLOOKUP(B41,Products!$A$2:$A$21,Products!$B$2:$B$21,,0)</f>
        <v>Printer</v>
      </c>
      <c r="E41" s="1">
        <f>_xlfn.XLOOKUP(D41,Products!$B$2:$B$21,Products!$C$2:$C$21,,0)</f>
        <v>31589</v>
      </c>
      <c r="F41" s="4">
        <f t="shared" si="0"/>
        <v>31589</v>
      </c>
    </row>
    <row r="42" spans="1:6" x14ac:dyDescent="0.3">
      <c r="A42" s="1">
        <v>5041</v>
      </c>
      <c r="B42" s="1">
        <v>8</v>
      </c>
      <c r="C42" s="4">
        <v>5</v>
      </c>
      <c r="D42" s="1" t="str">
        <f>_xlfn.XLOOKUP(B42,Products!$A$2:$A$21,Products!$B$2:$B$21,,0)</f>
        <v>Printer</v>
      </c>
      <c r="E42" s="1">
        <f>_xlfn.XLOOKUP(D42,Products!$B$2:$B$21,Products!$C$2:$C$21,,0)</f>
        <v>31589</v>
      </c>
      <c r="F42" s="4">
        <f t="shared" si="0"/>
        <v>157945</v>
      </c>
    </row>
    <row r="43" spans="1:6" x14ac:dyDescent="0.3">
      <c r="A43" s="1">
        <v>5042</v>
      </c>
      <c r="B43" s="1">
        <v>11</v>
      </c>
      <c r="C43" s="4">
        <v>3</v>
      </c>
      <c r="D43" s="1" t="str">
        <f>_xlfn.XLOOKUP(B43,Products!$A$2:$A$21,Products!$B$2:$B$21,,0)</f>
        <v>Fan</v>
      </c>
      <c r="E43" s="1">
        <f>_xlfn.XLOOKUP(D43,Products!$B$2:$B$21,Products!$C$2:$C$21,,0)</f>
        <v>45046</v>
      </c>
      <c r="F43" s="4">
        <f t="shared" si="0"/>
        <v>135138</v>
      </c>
    </row>
    <row r="44" spans="1:6" x14ac:dyDescent="0.3">
      <c r="A44" s="1">
        <v>5043</v>
      </c>
      <c r="B44" s="1">
        <v>12</v>
      </c>
      <c r="C44" s="4">
        <v>5</v>
      </c>
      <c r="D44" s="1" t="str">
        <f>_xlfn.XLOOKUP(B44,Products!$A$2:$A$21,Products!$B$2:$B$21,,0)</f>
        <v>AC</v>
      </c>
      <c r="E44" s="1">
        <f>_xlfn.XLOOKUP(D44,Products!$B$2:$B$21,Products!$C$2:$C$21,,0)</f>
        <v>32456</v>
      </c>
      <c r="F44" s="4">
        <f t="shared" si="0"/>
        <v>162280</v>
      </c>
    </row>
    <row r="45" spans="1:6" x14ac:dyDescent="0.3">
      <c r="A45" s="1">
        <v>5044</v>
      </c>
      <c r="B45" s="1">
        <v>9</v>
      </c>
      <c r="C45" s="4">
        <v>1</v>
      </c>
      <c r="D45" s="1" t="str">
        <f>_xlfn.XLOOKUP(B45,Products!$A$2:$A$21,Products!$B$2:$B$21,,0)</f>
        <v>Desk</v>
      </c>
      <c r="E45" s="1">
        <f>_xlfn.XLOOKUP(D45,Products!$B$2:$B$21,Products!$C$2:$C$21,,0)</f>
        <v>15870</v>
      </c>
      <c r="F45" s="4">
        <f t="shared" si="0"/>
        <v>15870</v>
      </c>
    </row>
    <row r="46" spans="1:6" x14ac:dyDescent="0.3">
      <c r="A46" s="1">
        <v>5045</v>
      </c>
      <c r="B46" s="1">
        <v>2</v>
      </c>
      <c r="C46" s="4">
        <v>2</v>
      </c>
      <c r="D46" s="1" t="str">
        <f>_xlfn.XLOOKUP(B46,Products!$A$2:$A$21,Products!$B$2:$B$21,,0)</f>
        <v>Mouse</v>
      </c>
      <c r="E46" s="1">
        <f>_xlfn.XLOOKUP(D46,Products!$B$2:$B$21,Products!$C$2:$C$21,,0)</f>
        <v>40685</v>
      </c>
      <c r="F46" s="4">
        <f t="shared" si="0"/>
        <v>81370</v>
      </c>
    </row>
    <row r="47" spans="1:6" x14ac:dyDescent="0.3">
      <c r="A47" s="1">
        <v>5046</v>
      </c>
      <c r="B47" s="1">
        <v>19</v>
      </c>
      <c r="C47" s="4">
        <v>5</v>
      </c>
      <c r="D47" s="1" t="str">
        <f>_xlfn.XLOOKUP(B47,Products!$A$2:$A$21,Products!$B$2:$B$21,,0)</f>
        <v>Router</v>
      </c>
      <c r="E47" s="1">
        <f>_xlfn.XLOOKUP(D47,Products!$B$2:$B$21,Products!$C$2:$C$21,,0)</f>
        <v>37165</v>
      </c>
      <c r="F47" s="4">
        <f t="shared" si="0"/>
        <v>185825</v>
      </c>
    </row>
    <row r="48" spans="1:6" x14ac:dyDescent="0.3">
      <c r="A48" s="1">
        <v>5047</v>
      </c>
      <c r="B48" s="1">
        <v>2</v>
      </c>
      <c r="C48" s="4">
        <v>5</v>
      </c>
      <c r="D48" s="1" t="str">
        <f>_xlfn.XLOOKUP(B48,Products!$A$2:$A$21,Products!$B$2:$B$21,,0)</f>
        <v>Mouse</v>
      </c>
      <c r="E48" s="1">
        <f>_xlfn.XLOOKUP(D48,Products!$B$2:$B$21,Products!$C$2:$C$21,,0)</f>
        <v>40685</v>
      </c>
      <c r="F48" s="4">
        <f t="shared" si="0"/>
        <v>203425</v>
      </c>
    </row>
    <row r="49" spans="1:6" x14ac:dyDescent="0.3">
      <c r="A49" s="1">
        <v>5048</v>
      </c>
      <c r="B49" s="1">
        <v>2</v>
      </c>
      <c r="C49" s="4">
        <v>1</v>
      </c>
      <c r="D49" s="1" t="str">
        <f>_xlfn.XLOOKUP(B49,Products!$A$2:$A$21,Products!$B$2:$B$21,,0)</f>
        <v>Mouse</v>
      </c>
      <c r="E49" s="1">
        <f>_xlfn.XLOOKUP(D49,Products!$B$2:$B$21,Products!$C$2:$C$21,,0)</f>
        <v>40685</v>
      </c>
      <c r="F49" s="4">
        <f t="shared" si="0"/>
        <v>40685</v>
      </c>
    </row>
    <row r="50" spans="1:6" x14ac:dyDescent="0.3">
      <c r="A50" s="1">
        <v>5049</v>
      </c>
      <c r="B50" s="1">
        <v>17</v>
      </c>
      <c r="C50" s="4">
        <v>1</v>
      </c>
      <c r="D50" s="1" t="str">
        <f>_xlfn.XLOOKUP(B50,Products!$A$2:$A$21,Products!$B$2:$B$21,,0)</f>
        <v>TV</v>
      </c>
      <c r="E50" s="1">
        <f>_xlfn.XLOOKUP(D50,Products!$B$2:$B$21,Products!$C$2:$C$21,,0)</f>
        <v>25434</v>
      </c>
      <c r="F50" s="4">
        <f t="shared" si="0"/>
        <v>25434</v>
      </c>
    </row>
    <row r="51" spans="1:6" x14ac:dyDescent="0.3">
      <c r="A51" s="1">
        <v>5050</v>
      </c>
      <c r="B51" s="1">
        <v>17</v>
      </c>
      <c r="C51" s="4">
        <v>4</v>
      </c>
      <c r="D51" s="1" t="str">
        <f>_xlfn.XLOOKUP(B51,Products!$A$2:$A$21,Products!$B$2:$B$21,,0)</f>
        <v>TV</v>
      </c>
      <c r="E51" s="1">
        <f>_xlfn.XLOOKUP(D51,Products!$B$2:$B$21,Products!$C$2:$C$21,,0)</f>
        <v>25434</v>
      </c>
      <c r="F51" s="4">
        <f t="shared" si="0"/>
        <v>101736</v>
      </c>
    </row>
    <row r="52" spans="1:6" x14ac:dyDescent="0.3">
      <c r="A52" s="1">
        <v>5051</v>
      </c>
      <c r="B52" s="1">
        <v>11</v>
      </c>
      <c r="C52" s="4">
        <v>3</v>
      </c>
      <c r="D52" s="1" t="str">
        <f>_xlfn.XLOOKUP(B52,Products!$A$2:$A$21,Products!$B$2:$B$21,,0)</f>
        <v>Fan</v>
      </c>
      <c r="E52" s="1">
        <f>_xlfn.XLOOKUP(D52,Products!$B$2:$B$21,Products!$C$2:$C$21,,0)</f>
        <v>45046</v>
      </c>
      <c r="F52" s="4">
        <f t="shared" si="0"/>
        <v>135138</v>
      </c>
    </row>
    <row r="53" spans="1:6" x14ac:dyDescent="0.3">
      <c r="A53" s="1">
        <v>5052</v>
      </c>
      <c r="B53" s="1">
        <v>13</v>
      </c>
      <c r="C53" s="4">
        <v>2</v>
      </c>
      <c r="D53" s="1" t="str">
        <f>_xlfn.XLOOKUP(B53,Products!$A$2:$A$21,Products!$B$2:$B$21,,0)</f>
        <v>Pen</v>
      </c>
      <c r="E53" s="1">
        <f>_xlfn.XLOOKUP(D53,Products!$B$2:$B$21,Products!$C$2:$C$21,,0)</f>
        <v>3900</v>
      </c>
      <c r="F53" s="4">
        <f t="shared" si="0"/>
        <v>7800</v>
      </c>
    </row>
    <row r="54" spans="1:6" x14ac:dyDescent="0.3">
      <c r="A54" s="1">
        <v>5053</v>
      </c>
      <c r="B54" s="1">
        <v>11</v>
      </c>
      <c r="C54" s="4">
        <v>5</v>
      </c>
      <c r="D54" s="1" t="str">
        <f>_xlfn.XLOOKUP(B54,Products!$A$2:$A$21,Products!$B$2:$B$21,,0)</f>
        <v>Fan</v>
      </c>
      <c r="E54" s="1">
        <f>_xlfn.XLOOKUP(D54,Products!$B$2:$B$21,Products!$C$2:$C$21,,0)</f>
        <v>45046</v>
      </c>
      <c r="F54" s="4">
        <f t="shared" si="0"/>
        <v>225230</v>
      </c>
    </row>
    <row r="55" spans="1:6" x14ac:dyDescent="0.3">
      <c r="A55" s="1">
        <v>5054</v>
      </c>
      <c r="B55" s="1">
        <v>13</v>
      </c>
      <c r="C55" s="4">
        <v>1</v>
      </c>
      <c r="D55" s="1" t="str">
        <f>_xlfn.XLOOKUP(B55,Products!$A$2:$A$21,Products!$B$2:$B$21,,0)</f>
        <v>Pen</v>
      </c>
      <c r="E55" s="1">
        <f>_xlfn.XLOOKUP(D55,Products!$B$2:$B$21,Products!$C$2:$C$21,,0)</f>
        <v>3900</v>
      </c>
      <c r="F55" s="4">
        <f t="shared" si="0"/>
        <v>3900</v>
      </c>
    </row>
    <row r="56" spans="1:6" x14ac:dyDescent="0.3">
      <c r="A56" s="1">
        <v>5055</v>
      </c>
      <c r="B56" s="1">
        <v>20</v>
      </c>
      <c r="C56" s="4">
        <v>5</v>
      </c>
      <c r="D56" s="1" t="str">
        <f>_xlfn.XLOOKUP(B56,Products!$A$2:$A$21,Products!$B$2:$B$21,,0)</f>
        <v>SSD</v>
      </c>
      <c r="E56" s="1">
        <f>_xlfn.XLOOKUP(D56,Products!$B$2:$B$21,Products!$C$2:$C$21,,0)</f>
        <v>10724</v>
      </c>
      <c r="F56" s="4">
        <f t="shared" si="0"/>
        <v>53620</v>
      </c>
    </row>
    <row r="57" spans="1:6" x14ac:dyDescent="0.3">
      <c r="A57" s="1">
        <v>5056</v>
      </c>
      <c r="B57" s="1">
        <v>17</v>
      </c>
      <c r="C57" s="4">
        <v>2</v>
      </c>
      <c r="D57" s="1" t="str">
        <f>_xlfn.XLOOKUP(B57,Products!$A$2:$A$21,Products!$B$2:$B$21,,0)</f>
        <v>TV</v>
      </c>
      <c r="E57" s="1">
        <f>_xlfn.XLOOKUP(D57,Products!$B$2:$B$21,Products!$C$2:$C$21,,0)</f>
        <v>25434</v>
      </c>
      <c r="F57" s="4">
        <f t="shared" si="0"/>
        <v>50868</v>
      </c>
    </row>
    <row r="58" spans="1:6" x14ac:dyDescent="0.3">
      <c r="A58" s="1">
        <v>5057</v>
      </c>
      <c r="B58" s="1">
        <v>4</v>
      </c>
      <c r="C58" s="4">
        <v>4</v>
      </c>
      <c r="D58" s="1" t="str">
        <f>_xlfn.XLOOKUP(B58,Products!$A$2:$A$21,Products!$B$2:$B$21,,0)</f>
        <v>Monitor</v>
      </c>
      <c r="E58" s="1">
        <f>_xlfn.XLOOKUP(D58,Products!$B$2:$B$21,Products!$C$2:$C$21,,0)</f>
        <v>30181</v>
      </c>
      <c r="F58" s="4">
        <f t="shared" si="0"/>
        <v>120724</v>
      </c>
    </row>
    <row r="59" spans="1:6" x14ac:dyDescent="0.3">
      <c r="A59" s="1">
        <v>5058</v>
      </c>
      <c r="B59" s="1">
        <v>1</v>
      </c>
      <c r="C59" s="4">
        <v>3</v>
      </c>
      <c r="D59" s="1" t="str">
        <f>_xlfn.XLOOKUP(B59,Products!$A$2:$A$21,Products!$B$2:$B$21,,0)</f>
        <v>Laptop</v>
      </c>
      <c r="E59" s="1">
        <f>_xlfn.XLOOKUP(D59,Products!$B$2:$B$21,Products!$C$2:$C$21,,0)</f>
        <v>34130</v>
      </c>
      <c r="F59" s="4">
        <f t="shared" si="0"/>
        <v>102390</v>
      </c>
    </row>
    <row r="60" spans="1:6" x14ac:dyDescent="0.3">
      <c r="A60" s="1">
        <v>5059</v>
      </c>
      <c r="B60" s="1">
        <v>5</v>
      </c>
      <c r="C60" s="4">
        <v>2</v>
      </c>
      <c r="D60" s="1" t="str">
        <f>_xlfn.XLOOKUP(B60,Products!$A$2:$A$21,Products!$B$2:$B$21,,0)</f>
        <v>Tablet</v>
      </c>
      <c r="E60" s="1">
        <f>_xlfn.XLOOKUP(D60,Products!$B$2:$B$21,Products!$C$2:$C$21,,0)</f>
        <v>13509</v>
      </c>
      <c r="F60" s="4">
        <f t="shared" si="0"/>
        <v>27018</v>
      </c>
    </row>
    <row r="61" spans="1:6" x14ac:dyDescent="0.3">
      <c r="A61" s="1">
        <v>5060</v>
      </c>
      <c r="B61" s="1">
        <v>12</v>
      </c>
      <c r="C61" s="4">
        <v>1</v>
      </c>
      <c r="D61" s="1" t="str">
        <f>_xlfn.XLOOKUP(B61,Products!$A$2:$A$21,Products!$B$2:$B$21,,0)</f>
        <v>AC</v>
      </c>
      <c r="E61" s="1">
        <f>_xlfn.XLOOKUP(D61,Products!$B$2:$B$21,Products!$C$2:$C$21,,0)</f>
        <v>32456</v>
      </c>
      <c r="F61" s="4">
        <f t="shared" si="0"/>
        <v>32456</v>
      </c>
    </row>
    <row r="62" spans="1:6" x14ac:dyDescent="0.3">
      <c r="A62" s="1">
        <v>5061</v>
      </c>
      <c r="B62" s="1">
        <v>10</v>
      </c>
      <c r="C62" s="4">
        <v>3</v>
      </c>
      <c r="D62" s="1" t="str">
        <f>_xlfn.XLOOKUP(B62,Products!$A$2:$A$21,Products!$B$2:$B$21,,0)</f>
        <v>Chair</v>
      </c>
      <c r="E62" s="1">
        <f>_xlfn.XLOOKUP(D62,Products!$B$2:$B$21,Products!$C$2:$C$21,,0)</f>
        <v>18164</v>
      </c>
      <c r="F62" s="4">
        <f t="shared" si="0"/>
        <v>54492</v>
      </c>
    </row>
    <row r="63" spans="1:6" x14ac:dyDescent="0.3">
      <c r="A63" s="1">
        <v>5062</v>
      </c>
      <c r="B63" s="1">
        <v>12</v>
      </c>
      <c r="C63" s="4">
        <v>1</v>
      </c>
      <c r="D63" s="1" t="str">
        <f>_xlfn.XLOOKUP(B63,Products!$A$2:$A$21,Products!$B$2:$B$21,,0)</f>
        <v>AC</v>
      </c>
      <c r="E63" s="1">
        <f>_xlfn.XLOOKUP(D63,Products!$B$2:$B$21,Products!$C$2:$C$21,,0)</f>
        <v>32456</v>
      </c>
      <c r="F63" s="4">
        <f t="shared" si="0"/>
        <v>32456</v>
      </c>
    </row>
    <row r="64" spans="1:6" x14ac:dyDescent="0.3">
      <c r="A64" s="1">
        <v>5063</v>
      </c>
      <c r="B64" s="1">
        <v>3</v>
      </c>
      <c r="C64" s="4">
        <v>4</v>
      </c>
      <c r="D64" s="1" t="str">
        <f>_xlfn.XLOOKUP(B64,Products!$A$2:$A$21,Products!$B$2:$B$21,,0)</f>
        <v>Keyboard</v>
      </c>
      <c r="E64" s="1">
        <f>_xlfn.XLOOKUP(D64,Products!$B$2:$B$21,Products!$C$2:$C$21,,0)</f>
        <v>26587</v>
      </c>
      <c r="F64" s="4">
        <f t="shared" si="0"/>
        <v>106348</v>
      </c>
    </row>
    <row r="65" spans="1:6" x14ac:dyDescent="0.3">
      <c r="A65" s="1">
        <v>5064</v>
      </c>
      <c r="B65" s="1">
        <v>1</v>
      </c>
      <c r="C65" s="4">
        <v>3</v>
      </c>
      <c r="D65" s="1" t="str">
        <f>_xlfn.XLOOKUP(B65,Products!$A$2:$A$21,Products!$B$2:$B$21,,0)</f>
        <v>Laptop</v>
      </c>
      <c r="E65" s="1">
        <f>_xlfn.XLOOKUP(D65,Products!$B$2:$B$21,Products!$C$2:$C$21,,0)</f>
        <v>34130</v>
      </c>
      <c r="F65" s="4">
        <f t="shared" si="0"/>
        <v>102390</v>
      </c>
    </row>
    <row r="66" spans="1:6" x14ac:dyDescent="0.3">
      <c r="A66" s="1">
        <v>5065</v>
      </c>
      <c r="B66" s="1">
        <v>11</v>
      </c>
      <c r="C66" s="4">
        <v>3</v>
      </c>
      <c r="D66" s="1" t="str">
        <f>_xlfn.XLOOKUP(B66,Products!$A$2:$A$21,Products!$B$2:$B$21,,0)</f>
        <v>Fan</v>
      </c>
      <c r="E66" s="1">
        <f>_xlfn.XLOOKUP(D66,Products!$B$2:$B$21,Products!$C$2:$C$21,,0)</f>
        <v>45046</v>
      </c>
      <c r="F66" s="4">
        <f t="shared" si="0"/>
        <v>135138</v>
      </c>
    </row>
    <row r="67" spans="1:6" x14ac:dyDescent="0.3">
      <c r="A67" s="1">
        <v>5066</v>
      </c>
      <c r="B67" s="1">
        <v>16</v>
      </c>
      <c r="C67" s="4">
        <v>3</v>
      </c>
      <c r="D67" s="1" t="str">
        <f>_xlfn.XLOOKUP(B67,Products!$A$2:$A$21,Products!$B$2:$B$21,,0)</f>
        <v>Watch</v>
      </c>
      <c r="E67" s="1">
        <f>_xlfn.XLOOKUP(D67,Products!$B$2:$B$21,Products!$C$2:$C$21,,0)</f>
        <v>21553</v>
      </c>
      <c r="F67" s="4">
        <f t="shared" ref="F67:F130" si="1">C67*E67</f>
        <v>64659</v>
      </c>
    </row>
    <row r="68" spans="1:6" x14ac:dyDescent="0.3">
      <c r="A68" s="1">
        <v>5067</v>
      </c>
      <c r="B68" s="1">
        <v>16</v>
      </c>
      <c r="C68" s="4">
        <v>4</v>
      </c>
      <c r="D68" s="1" t="str">
        <f>_xlfn.XLOOKUP(B68,Products!$A$2:$A$21,Products!$B$2:$B$21,,0)</f>
        <v>Watch</v>
      </c>
      <c r="E68" s="1">
        <f>_xlfn.XLOOKUP(D68,Products!$B$2:$B$21,Products!$C$2:$C$21,,0)</f>
        <v>21553</v>
      </c>
      <c r="F68" s="4">
        <f t="shared" si="1"/>
        <v>86212</v>
      </c>
    </row>
    <row r="69" spans="1:6" x14ac:dyDescent="0.3">
      <c r="A69" s="1">
        <v>5068</v>
      </c>
      <c r="B69" s="1">
        <v>16</v>
      </c>
      <c r="C69" s="4">
        <v>4</v>
      </c>
      <c r="D69" s="1" t="str">
        <f>_xlfn.XLOOKUP(B69,Products!$A$2:$A$21,Products!$B$2:$B$21,,0)</f>
        <v>Watch</v>
      </c>
      <c r="E69" s="1">
        <f>_xlfn.XLOOKUP(D69,Products!$B$2:$B$21,Products!$C$2:$C$21,,0)</f>
        <v>21553</v>
      </c>
      <c r="F69" s="4">
        <f t="shared" si="1"/>
        <v>86212</v>
      </c>
    </row>
    <row r="70" spans="1:6" x14ac:dyDescent="0.3">
      <c r="A70" s="1">
        <v>5069</v>
      </c>
      <c r="B70" s="1">
        <v>8</v>
      </c>
      <c r="C70" s="4">
        <v>2</v>
      </c>
      <c r="D70" s="1" t="str">
        <f>_xlfn.XLOOKUP(B70,Products!$A$2:$A$21,Products!$B$2:$B$21,,0)</f>
        <v>Printer</v>
      </c>
      <c r="E70" s="1">
        <f>_xlfn.XLOOKUP(D70,Products!$B$2:$B$21,Products!$C$2:$C$21,,0)</f>
        <v>31589</v>
      </c>
      <c r="F70" s="4">
        <f t="shared" si="1"/>
        <v>63178</v>
      </c>
    </row>
    <row r="71" spans="1:6" x14ac:dyDescent="0.3">
      <c r="A71" s="1">
        <v>5070</v>
      </c>
      <c r="B71" s="1">
        <v>15</v>
      </c>
      <c r="C71" s="4">
        <v>2</v>
      </c>
      <c r="D71" s="1" t="str">
        <f>_xlfn.XLOOKUP(B71,Products!$A$2:$A$21,Products!$B$2:$B$21,,0)</f>
        <v>Bag</v>
      </c>
      <c r="E71" s="1">
        <f>_xlfn.XLOOKUP(D71,Products!$B$2:$B$21,Products!$C$2:$C$21,,0)</f>
        <v>12567</v>
      </c>
      <c r="F71" s="4">
        <f t="shared" si="1"/>
        <v>25134</v>
      </c>
    </row>
    <row r="72" spans="1:6" x14ac:dyDescent="0.3">
      <c r="A72" s="1">
        <v>5071</v>
      </c>
      <c r="B72" s="1">
        <v>9</v>
      </c>
      <c r="C72" s="4">
        <v>5</v>
      </c>
      <c r="D72" s="1" t="str">
        <f>_xlfn.XLOOKUP(B72,Products!$A$2:$A$21,Products!$B$2:$B$21,,0)</f>
        <v>Desk</v>
      </c>
      <c r="E72" s="1">
        <f>_xlfn.XLOOKUP(D72,Products!$B$2:$B$21,Products!$C$2:$C$21,,0)</f>
        <v>15870</v>
      </c>
      <c r="F72" s="4">
        <f t="shared" si="1"/>
        <v>79350</v>
      </c>
    </row>
    <row r="73" spans="1:6" x14ac:dyDescent="0.3">
      <c r="A73" s="1">
        <v>5072</v>
      </c>
      <c r="B73" s="1">
        <v>9</v>
      </c>
      <c r="C73" s="4">
        <v>1</v>
      </c>
      <c r="D73" s="1" t="str">
        <f>_xlfn.XLOOKUP(B73,Products!$A$2:$A$21,Products!$B$2:$B$21,,0)</f>
        <v>Desk</v>
      </c>
      <c r="E73" s="1">
        <f>_xlfn.XLOOKUP(D73,Products!$B$2:$B$21,Products!$C$2:$C$21,,0)</f>
        <v>15870</v>
      </c>
      <c r="F73" s="4">
        <f t="shared" si="1"/>
        <v>15870</v>
      </c>
    </row>
    <row r="74" spans="1:6" x14ac:dyDescent="0.3">
      <c r="A74" s="1">
        <v>5073</v>
      </c>
      <c r="B74" s="1">
        <v>19</v>
      </c>
      <c r="C74" s="4">
        <v>1</v>
      </c>
      <c r="D74" s="1" t="str">
        <f>_xlfn.XLOOKUP(B74,Products!$A$2:$A$21,Products!$B$2:$B$21,,0)</f>
        <v>Router</v>
      </c>
      <c r="E74" s="1">
        <f>_xlfn.XLOOKUP(D74,Products!$B$2:$B$21,Products!$C$2:$C$21,,0)</f>
        <v>37165</v>
      </c>
      <c r="F74" s="4">
        <f t="shared" si="1"/>
        <v>37165</v>
      </c>
    </row>
    <row r="75" spans="1:6" x14ac:dyDescent="0.3">
      <c r="A75" s="1">
        <v>5074</v>
      </c>
      <c r="B75" s="1">
        <v>19</v>
      </c>
      <c r="C75" s="4">
        <v>1</v>
      </c>
      <c r="D75" s="1" t="str">
        <f>_xlfn.XLOOKUP(B75,Products!$A$2:$A$21,Products!$B$2:$B$21,,0)</f>
        <v>Router</v>
      </c>
      <c r="E75" s="1">
        <f>_xlfn.XLOOKUP(D75,Products!$B$2:$B$21,Products!$C$2:$C$21,,0)</f>
        <v>37165</v>
      </c>
      <c r="F75" s="4">
        <f t="shared" si="1"/>
        <v>37165</v>
      </c>
    </row>
    <row r="76" spans="1:6" x14ac:dyDescent="0.3">
      <c r="A76" s="1">
        <v>5075</v>
      </c>
      <c r="B76" s="1">
        <v>20</v>
      </c>
      <c r="C76" s="4">
        <v>3</v>
      </c>
      <c r="D76" s="1" t="str">
        <f>_xlfn.XLOOKUP(B76,Products!$A$2:$A$21,Products!$B$2:$B$21,,0)</f>
        <v>SSD</v>
      </c>
      <c r="E76" s="1">
        <f>_xlfn.XLOOKUP(D76,Products!$B$2:$B$21,Products!$C$2:$C$21,,0)</f>
        <v>10724</v>
      </c>
      <c r="F76" s="4">
        <f t="shared" si="1"/>
        <v>32172</v>
      </c>
    </row>
    <row r="77" spans="1:6" x14ac:dyDescent="0.3">
      <c r="A77" s="1">
        <v>5076</v>
      </c>
      <c r="B77" s="1">
        <v>12</v>
      </c>
      <c r="C77" s="4">
        <v>3</v>
      </c>
      <c r="D77" s="1" t="str">
        <f>_xlfn.XLOOKUP(B77,Products!$A$2:$A$21,Products!$B$2:$B$21,,0)</f>
        <v>AC</v>
      </c>
      <c r="E77" s="1">
        <f>_xlfn.XLOOKUP(D77,Products!$B$2:$B$21,Products!$C$2:$C$21,,0)</f>
        <v>32456</v>
      </c>
      <c r="F77" s="4">
        <f t="shared" si="1"/>
        <v>97368</v>
      </c>
    </row>
    <row r="78" spans="1:6" x14ac:dyDescent="0.3">
      <c r="A78" s="1">
        <v>5077</v>
      </c>
      <c r="B78" s="1">
        <v>12</v>
      </c>
      <c r="C78" s="4">
        <v>4</v>
      </c>
      <c r="D78" s="1" t="str">
        <f>_xlfn.XLOOKUP(B78,Products!$A$2:$A$21,Products!$B$2:$B$21,,0)</f>
        <v>AC</v>
      </c>
      <c r="E78" s="1">
        <f>_xlfn.XLOOKUP(D78,Products!$B$2:$B$21,Products!$C$2:$C$21,,0)</f>
        <v>32456</v>
      </c>
      <c r="F78" s="4">
        <f t="shared" si="1"/>
        <v>129824</v>
      </c>
    </row>
    <row r="79" spans="1:6" x14ac:dyDescent="0.3">
      <c r="A79" s="1">
        <v>5078</v>
      </c>
      <c r="B79" s="1">
        <v>3</v>
      </c>
      <c r="C79" s="4">
        <v>4</v>
      </c>
      <c r="D79" s="1" t="str">
        <f>_xlfn.XLOOKUP(B79,Products!$A$2:$A$21,Products!$B$2:$B$21,,0)</f>
        <v>Keyboard</v>
      </c>
      <c r="E79" s="1">
        <f>_xlfn.XLOOKUP(D79,Products!$B$2:$B$21,Products!$C$2:$C$21,,0)</f>
        <v>26587</v>
      </c>
      <c r="F79" s="4">
        <f t="shared" si="1"/>
        <v>106348</v>
      </c>
    </row>
    <row r="80" spans="1:6" x14ac:dyDescent="0.3">
      <c r="A80" s="1">
        <v>5079</v>
      </c>
      <c r="B80" s="1">
        <v>14</v>
      </c>
      <c r="C80" s="4">
        <v>2</v>
      </c>
      <c r="D80" s="1" t="str">
        <f>_xlfn.XLOOKUP(B80,Products!$A$2:$A$21,Products!$B$2:$B$21,,0)</f>
        <v>Book</v>
      </c>
      <c r="E80" s="1">
        <f>_xlfn.XLOOKUP(D80,Products!$B$2:$B$21,Products!$C$2:$C$21,,0)</f>
        <v>23213</v>
      </c>
      <c r="F80" s="4">
        <f t="shared" si="1"/>
        <v>46426</v>
      </c>
    </row>
    <row r="81" spans="1:6" x14ac:dyDescent="0.3">
      <c r="A81" s="1">
        <v>5080</v>
      </c>
      <c r="B81" s="1">
        <v>7</v>
      </c>
      <c r="C81" s="4">
        <v>2</v>
      </c>
      <c r="D81" s="1" t="str">
        <f>_xlfn.XLOOKUP(B81,Products!$A$2:$A$21,Products!$B$2:$B$21,,0)</f>
        <v>Camera</v>
      </c>
      <c r="E81" s="1">
        <f>_xlfn.XLOOKUP(D81,Products!$B$2:$B$21,Products!$C$2:$C$21,,0)</f>
        <v>34857</v>
      </c>
      <c r="F81" s="4">
        <f t="shared" si="1"/>
        <v>69714</v>
      </c>
    </row>
    <row r="82" spans="1:6" x14ac:dyDescent="0.3">
      <c r="A82" s="1">
        <v>5081</v>
      </c>
      <c r="B82" s="1">
        <v>7</v>
      </c>
      <c r="C82" s="4">
        <v>1</v>
      </c>
      <c r="D82" s="1" t="str">
        <f>_xlfn.XLOOKUP(B82,Products!$A$2:$A$21,Products!$B$2:$B$21,,0)</f>
        <v>Camera</v>
      </c>
      <c r="E82" s="1">
        <f>_xlfn.XLOOKUP(D82,Products!$B$2:$B$21,Products!$C$2:$C$21,,0)</f>
        <v>34857</v>
      </c>
      <c r="F82" s="4">
        <f t="shared" si="1"/>
        <v>34857</v>
      </c>
    </row>
    <row r="83" spans="1:6" x14ac:dyDescent="0.3">
      <c r="A83" s="1">
        <v>5082</v>
      </c>
      <c r="B83" s="1">
        <v>11</v>
      </c>
      <c r="C83" s="4">
        <v>4</v>
      </c>
      <c r="D83" s="1" t="str">
        <f>_xlfn.XLOOKUP(B83,Products!$A$2:$A$21,Products!$B$2:$B$21,,0)</f>
        <v>Fan</v>
      </c>
      <c r="E83" s="1">
        <f>_xlfn.XLOOKUP(D83,Products!$B$2:$B$21,Products!$C$2:$C$21,,0)</f>
        <v>45046</v>
      </c>
      <c r="F83" s="4">
        <f t="shared" si="1"/>
        <v>180184</v>
      </c>
    </row>
    <row r="84" spans="1:6" x14ac:dyDescent="0.3">
      <c r="A84" s="1">
        <v>5083</v>
      </c>
      <c r="B84" s="1">
        <v>1</v>
      </c>
      <c r="C84" s="4">
        <v>5</v>
      </c>
      <c r="D84" s="1" t="str">
        <f>_xlfn.XLOOKUP(B84,Products!$A$2:$A$21,Products!$B$2:$B$21,,0)</f>
        <v>Laptop</v>
      </c>
      <c r="E84" s="1">
        <f>_xlfn.XLOOKUP(D84,Products!$B$2:$B$21,Products!$C$2:$C$21,,0)</f>
        <v>34130</v>
      </c>
      <c r="F84" s="4">
        <f t="shared" si="1"/>
        <v>170650</v>
      </c>
    </row>
    <row r="85" spans="1:6" x14ac:dyDescent="0.3">
      <c r="A85" s="1">
        <v>5084</v>
      </c>
      <c r="B85" s="1">
        <v>10</v>
      </c>
      <c r="C85" s="4">
        <v>2</v>
      </c>
      <c r="D85" s="1" t="str">
        <f>_xlfn.XLOOKUP(B85,Products!$A$2:$A$21,Products!$B$2:$B$21,,0)</f>
        <v>Chair</v>
      </c>
      <c r="E85" s="1">
        <f>_xlfn.XLOOKUP(D85,Products!$B$2:$B$21,Products!$C$2:$C$21,,0)</f>
        <v>18164</v>
      </c>
      <c r="F85" s="4">
        <f t="shared" si="1"/>
        <v>36328</v>
      </c>
    </row>
    <row r="86" spans="1:6" x14ac:dyDescent="0.3">
      <c r="A86" s="1">
        <v>5085</v>
      </c>
      <c r="B86" s="1">
        <v>18</v>
      </c>
      <c r="C86" s="4">
        <v>5</v>
      </c>
      <c r="D86" s="1" t="str">
        <f>_xlfn.XLOOKUP(B86,Products!$A$2:$A$21,Products!$B$2:$B$21,,0)</f>
        <v>Speaker</v>
      </c>
      <c r="E86" s="1">
        <f>_xlfn.XLOOKUP(D86,Products!$B$2:$B$21,Products!$C$2:$C$21,,0)</f>
        <v>28829</v>
      </c>
      <c r="F86" s="4">
        <f t="shared" si="1"/>
        <v>144145</v>
      </c>
    </row>
    <row r="87" spans="1:6" x14ac:dyDescent="0.3">
      <c r="A87" s="1">
        <v>5086</v>
      </c>
      <c r="B87" s="1">
        <v>16</v>
      </c>
      <c r="C87" s="4">
        <v>4</v>
      </c>
      <c r="D87" s="1" t="str">
        <f>_xlfn.XLOOKUP(B87,Products!$A$2:$A$21,Products!$B$2:$B$21,,0)</f>
        <v>Watch</v>
      </c>
      <c r="E87" s="1">
        <f>_xlfn.XLOOKUP(D87,Products!$B$2:$B$21,Products!$C$2:$C$21,,0)</f>
        <v>21553</v>
      </c>
      <c r="F87" s="4">
        <f t="shared" si="1"/>
        <v>86212</v>
      </c>
    </row>
    <row r="88" spans="1:6" x14ac:dyDescent="0.3">
      <c r="A88" s="1">
        <v>5087</v>
      </c>
      <c r="B88" s="1">
        <v>12</v>
      </c>
      <c r="C88" s="4">
        <v>1</v>
      </c>
      <c r="D88" s="1" t="str">
        <f>_xlfn.XLOOKUP(B88,Products!$A$2:$A$21,Products!$B$2:$B$21,,0)</f>
        <v>AC</v>
      </c>
      <c r="E88" s="1">
        <f>_xlfn.XLOOKUP(D88,Products!$B$2:$B$21,Products!$C$2:$C$21,,0)</f>
        <v>32456</v>
      </c>
      <c r="F88" s="4">
        <f t="shared" si="1"/>
        <v>32456</v>
      </c>
    </row>
    <row r="89" spans="1:6" x14ac:dyDescent="0.3">
      <c r="A89" s="1">
        <v>5088</v>
      </c>
      <c r="B89" s="1">
        <v>7</v>
      </c>
      <c r="C89" s="4">
        <v>1</v>
      </c>
      <c r="D89" s="1" t="str">
        <f>_xlfn.XLOOKUP(B89,Products!$A$2:$A$21,Products!$B$2:$B$21,,0)</f>
        <v>Camera</v>
      </c>
      <c r="E89" s="1">
        <f>_xlfn.XLOOKUP(D89,Products!$B$2:$B$21,Products!$C$2:$C$21,,0)</f>
        <v>34857</v>
      </c>
      <c r="F89" s="4">
        <f t="shared" si="1"/>
        <v>34857</v>
      </c>
    </row>
    <row r="90" spans="1:6" x14ac:dyDescent="0.3">
      <c r="A90" s="1">
        <v>5089</v>
      </c>
      <c r="B90" s="1">
        <v>17</v>
      </c>
      <c r="C90" s="4">
        <v>5</v>
      </c>
      <c r="D90" s="1" t="str">
        <f>_xlfn.XLOOKUP(B90,Products!$A$2:$A$21,Products!$B$2:$B$21,,0)</f>
        <v>TV</v>
      </c>
      <c r="E90" s="1">
        <f>_xlfn.XLOOKUP(D90,Products!$B$2:$B$21,Products!$C$2:$C$21,,0)</f>
        <v>25434</v>
      </c>
      <c r="F90" s="4">
        <f t="shared" si="1"/>
        <v>127170</v>
      </c>
    </row>
    <row r="91" spans="1:6" x14ac:dyDescent="0.3">
      <c r="A91" s="1">
        <v>5090</v>
      </c>
      <c r="B91" s="1">
        <v>18</v>
      </c>
      <c r="C91" s="4">
        <v>1</v>
      </c>
      <c r="D91" s="1" t="str">
        <f>_xlfn.XLOOKUP(B91,Products!$A$2:$A$21,Products!$B$2:$B$21,,0)</f>
        <v>Speaker</v>
      </c>
      <c r="E91" s="1">
        <f>_xlfn.XLOOKUP(D91,Products!$B$2:$B$21,Products!$C$2:$C$21,,0)</f>
        <v>28829</v>
      </c>
      <c r="F91" s="4">
        <f t="shared" si="1"/>
        <v>28829</v>
      </c>
    </row>
    <row r="92" spans="1:6" x14ac:dyDescent="0.3">
      <c r="A92" s="1">
        <v>5091</v>
      </c>
      <c r="B92" s="1">
        <v>6</v>
      </c>
      <c r="C92" s="4">
        <v>4</v>
      </c>
      <c r="D92" s="1" t="str">
        <f>_xlfn.XLOOKUP(B92,Products!$A$2:$A$21,Products!$B$2:$B$21,,0)</f>
        <v>Phone</v>
      </c>
      <c r="E92" s="1">
        <f>_xlfn.XLOOKUP(D92,Products!$B$2:$B$21,Products!$C$2:$C$21,,0)</f>
        <v>10250</v>
      </c>
      <c r="F92" s="4">
        <f t="shared" si="1"/>
        <v>41000</v>
      </c>
    </row>
    <row r="93" spans="1:6" x14ac:dyDescent="0.3">
      <c r="A93" s="1">
        <v>5092</v>
      </c>
      <c r="B93" s="1">
        <v>8</v>
      </c>
      <c r="C93" s="4">
        <v>2</v>
      </c>
      <c r="D93" s="1" t="str">
        <f>_xlfn.XLOOKUP(B93,Products!$A$2:$A$21,Products!$B$2:$B$21,,0)</f>
        <v>Printer</v>
      </c>
      <c r="E93" s="1">
        <f>_xlfn.XLOOKUP(D93,Products!$B$2:$B$21,Products!$C$2:$C$21,,0)</f>
        <v>31589</v>
      </c>
      <c r="F93" s="4">
        <f t="shared" si="1"/>
        <v>63178</v>
      </c>
    </row>
    <row r="94" spans="1:6" x14ac:dyDescent="0.3">
      <c r="A94" s="1">
        <v>5093</v>
      </c>
      <c r="B94" s="1">
        <v>14</v>
      </c>
      <c r="C94" s="4">
        <v>1</v>
      </c>
      <c r="D94" s="1" t="str">
        <f>_xlfn.XLOOKUP(B94,Products!$A$2:$A$21,Products!$B$2:$B$21,,0)</f>
        <v>Book</v>
      </c>
      <c r="E94" s="1">
        <f>_xlfn.XLOOKUP(D94,Products!$B$2:$B$21,Products!$C$2:$C$21,,0)</f>
        <v>23213</v>
      </c>
      <c r="F94" s="4">
        <f t="shared" si="1"/>
        <v>23213</v>
      </c>
    </row>
    <row r="95" spans="1:6" x14ac:dyDescent="0.3">
      <c r="A95" s="1">
        <v>5094</v>
      </c>
      <c r="B95" s="1">
        <v>7</v>
      </c>
      <c r="C95" s="4">
        <v>4</v>
      </c>
      <c r="D95" s="1" t="str">
        <f>_xlfn.XLOOKUP(B95,Products!$A$2:$A$21,Products!$B$2:$B$21,,0)</f>
        <v>Camera</v>
      </c>
      <c r="E95" s="1">
        <f>_xlfn.XLOOKUP(D95,Products!$B$2:$B$21,Products!$C$2:$C$21,,0)</f>
        <v>34857</v>
      </c>
      <c r="F95" s="4">
        <f t="shared" si="1"/>
        <v>139428</v>
      </c>
    </row>
    <row r="96" spans="1:6" x14ac:dyDescent="0.3">
      <c r="A96" s="1">
        <v>5095</v>
      </c>
      <c r="B96" s="1">
        <v>16</v>
      </c>
      <c r="C96" s="4">
        <v>1</v>
      </c>
      <c r="D96" s="1" t="str">
        <f>_xlfn.XLOOKUP(B96,Products!$A$2:$A$21,Products!$B$2:$B$21,,0)</f>
        <v>Watch</v>
      </c>
      <c r="E96" s="1">
        <f>_xlfn.XLOOKUP(D96,Products!$B$2:$B$21,Products!$C$2:$C$21,,0)</f>
        <v>21553</v>
      </c>
      <c r="F96" s="4">
        <f t="shared" si="1"/>
        <v>21553</v>
      </c>
    </row>
    <row r="97" spans="1:6" x14ac:dyDescent="0.3">
      <c r="A97" s="1">
        <v>5096</v>
      </c>
      <c r="B97" s="1">
        <v>20</v>
      </c>
      <c r="C97" s="4">
        <v>1</v>
      </c>
      <c r="D97" s="1" t="str">
        <f>_xlfn.XLOOKUP(B97,Products!$A$2:$A$21,Products!$B$2:$B$21,,0)</f>
        <v>SSD</v>
      </c>
      <c r="E97" s="1">
        <f>_xlfn.XLOOKUP(D97,Products!$B$2:$B$21,Products!$C$2:$C$21,,0)</f>
        <v>10724</v>
      </c>
      <c r="F97" s="4">
        <f t="shared" si="1"/>
        <v>10724</v>
      </c>
    </row>
    <row r="98" spans="1:6" x14ac:dyDescent="0.3">
      <c r="A98" s="1">
        <v>5097</v>
      </c>
      <c r="B98" s="1">
        <v>6</v>
      </c>
      <c r="C98" s="4">
        <v>3</v>
      </c>
      <c r="D98" s="1" t="str">
        <f>_xlfn.XLOOKUP(B98,Products!$A$2:$A$21,Products!$B$2:$B$21,,0)</f>
        <v>Phone</v>
      </c>
      <c r="E98" s="1">
        <f>_xlfn.XLOOKUP(D98,Products!$B$2:$B$21,Products!$C$2:$C$21,,0)</f>
        <v>10250</v>
      </c>
      <c r="F98" s="4">
        <f t="shared" si="1"/>
        <v>30750</v>
      </c>
    </row>
    <row r="99" spans="1:6" x14ac:dyDescent="0.3">
      <c r="A99" s="1">
        <v>5098</v>
      </c>
      <c r="B99" s="1">
        <v>14</v>
      </c>
      <c r="C99" s="4">
        <v>4</v>
      </c>
      <c r="D99" s="1" t="str">
        <f>_xlfn.XLOOKUP(B99,Products!$A$2:$A$21,Products!$B$2:$B$21,,0)</f>
        <v>Book</v>
      </c>
      <c r="E99" s="1">
        <f>_xlfn.XLOOKUP(D99,Products!$B$2:$B$21,Products!$C$2:$C$21,,0)</f>
        <v>23213</v>
      </c>
      <c r="F99" s="4">
        <f t="shared" si="1"/>
        <v>92852</v>
      </c>
    </row>
    <row r="100" spans="1:6" x14ac:dyDescent="0.3">
      <c r="A100" s="1">
        <v>5099</v>
      </c>
      <c r="B100" s="1">
        <v>2</v>
      </c>
      <c r="C100" s="4">
        <v>3</v>
      </c>
      <c r="D100" s="1" t="str">
        <f>_xlfn.XLOOKUP(B100,Products!$A$2:$A$21,Products!$B$2:$B$21,,0)</f>
        <v>Mouse</v>
      </c>
      <c r="E100" s="1">
        <f>_xlfn.XLOOKUP(D100,Products!$B$2:$B$21,Products!$C$2:$C$21,,0)</f>
        <v>40685</v>
      </c>
      <c r="F100" s="4">
        <f t="shared" si="1"/>
        <v>122055</v>
      </c>
    </row>
    <row r="101" spans="1:6" x14ac:dyDescent="0.3">
      <c r="A101" s="1">
        <v>5100</v>
      </c>
      <c r="B101" s="1">
        <v>16</v>
      </c>
      <c r="C101" s="4">
        <v>2</v>
      </c>
      <c r="D101" s="1" t="str">
        <f>_xlfn.XLOOKUP(B101,Products!$A$2:$A$21,Products!$B$2:$B$21,,0)</f>
        <v>Watch</v>
      </c>
      <c r="E101" s="1">
        <f>_xlfn.XLOOKUP(D101,Products!$B$2:$B$21,Products!$C$2:$C$21,,0)</f>
        <v>21553</v>
      </c>
      <c r="F101" s="4">
        <f t="shared" si="1"/>
        <v>43106</v>
      </c>
    </row>
    <row r="102" spans="1:6" x14ac:dyDescent="0.3">
      <c r="A102" s="1">
        <v>5101</v>
      </c>
      <c r="B102" s="1">
        <v>4</v>
      </c>
      <c r="C102" s="4">
        <v>5</v>
      </c>
      <c r="D102" s="1" t="str">
        <f>_xlfn.XLOOKUP(B102,Products!$A$2:$A$21,Products!$B$2:$B$21,,0)</f>
        <v>Monitor</v>
      </c>
      <c r="E102" s="1">
        <f>_xlfn.XLOOKUP(D102,Products!$B$2:$B$21,Products!$C$2:$C$21,,0)</f>
        <v>30181</v>
      </c>
      <c r="F102" s="4">
        <f t="shared" si="1"/>
        <v>150905</v>
      </c>
    </row>
    <row r="103" spans="1:6" x14ac:dyDescent="0.3">
      <c r="A103" s="1">
        <v>5102</v>
      </c>
      <c r="B103" s="1">
        <v>10</v>
      </c>
      <c r="C103" s="4">
        <v>3</v>
      </c>
      <c r="D103" s="1" t="str">
        <f>_xlfn.XLOOKUP(B103,Products!$A$2:$A$21,Products!$B$2:$B$21,,0)</f>
        <v>Chair</v>
      </c>
      <c r="E103" s="1">
        <f>_xlfn.XLOOKUP(D103,Products!$B$2:$B$21,Products!$C$2:$C$21,,0)</f>
        <v>18164</v>
      </c>
      <c r="F103" s="4">
        <f t="shared" si="1"/>
        <v>54492</v>
      </c>
    </row>
    <row r="104" spans="1:6" x14ac:dyDescent="0.3">
      <c r="A104" s="1">
        <v>5103</v>
      </c>
      <c r="B104" s="1">
        <v>2</v>
      </c>
      <c r="C104" s="4">
        <v>3</v>
      </c>
      <c r="D104" s="1" t="str">
        <f>_xlfn.XLOOKUP(B104,Products!$A$2:$A$21,Products!$B$2:$B$21,,0)</f>
        <v>Mouse</v>
      </c>
      <c r="E104" s="1">
        <f>_xlfn.XLOOKUP(D104,Products!$B$2:$B$21,Products!$C$2:$C$21,,0)</f>
        <v>40685</v>
      </c>
      <c r="F104" s="4">
        <f t="shared" si="1"/>
        <v>122055</v>
      </c>
    </row>
    <row r="105" spans="1:6" x14ac:dyDescent="0.3">
      <c r="A105" s="1">
        <v>5104</v>
      </c>
      <c r="B105" s="1">
        <v>16</v>
      </c>
      <c r="C105" s="4">
        <v>5</v>
      </c>
      <c r="D105" s="1" t="str">
        <f>_xlfn.XLOOKUP(B105,Products!$A$2:$A$21,Products!$B$2:$B$21,,0)</f>
        <v>Watch</v>
      </c>
      <c r="E105" s="1">
        <f>_xlfn.XLOOKUP(D105,Products!$B$2:$B$21,Products!$C$2:$C$21,,0)</f>
        <v>21553</v>
      </c>
      <c r="F105" s="4">
        <f t="shared" si="1"/>
        <v>107765</v>
      </c>
    </row>
    <row r="106" spans="1:6" x14ac:dyDescent="0.3">
      <c r="A106" s="1">
        <v>5105</v>
      </c>
      <c r="B106" s="1">
        <v>20</v>
      </c>
      <c r="C106" s="4">
        <v>2</v>
      </c>
      <c r="D106" s="1" t="str">
        <f>_xlfn.XLOOKUP(B106,Products!$A$2:$A$21,Products!$B$2:$B$21,,0)</f>
        <v>SSD</v>
      </c>
      <c r="E106" s="1">
        <f>_xlfn.XLOOKUP(D106,Products!$B$2:$B$21,Products!$C$2:$C$21,,0)</f>
        <v>10724</v>
      </c>
      <c r="F106" s="4">
        <f t="shared" si="1"/>
        <v>21448</v>
      </c>
    </row>
    <row r="107" spans="1:6" x14ac:dyDescent="0.3">
      <c r="A107" s="1">
        <v>5106</v>
      </c>
      <c r="B107" s="1">
        <v>3</v>
      </c>
      <c r="C107" s="4">
        <v>3</v>
      </c>
      <c r="D107" s="1" t="str">
        <f>_xlfn.XLOOKUP(B107,Products!$A$2:$A$21,Products!$B$2:$B$21,,0)</f>
        <v>Keyboard</v>
      </c>
      <c r="E107" s="1">
        <f>_xlfn.XLOOKUP(D107,Products!$B$2:$B$21,Products!$C$2:$C$21,,0)</f>
        <v>26587</v>
      </c>
      <c r="F107" s="4">
        <f t="shared" si="1"/>
        <v>79761</v>
      </c>
    </row>
    <row r="108" spans="1:6" x14ac:dyDescent="0.3">
      <c r="A108" s="1">
        <v>5107</v>
      </c>
      <c r="B108" s="1">
        <v>4</v>
      </c>
      <c r="C108" s="4">
        <v>1</v>
      </c>
      <c r="D108" s="1" t="str">
        <f>_xlfn.XLOOKUP(B108,Products!$A$2:$A$21,Products!$B$2:$B$21,,0)</f>
        <v>Monitor</v>
      </c>
      <c r="E108" s="1">
        <f>_xlfn.XLOOKUP(D108,Products!$B$2:$B$21,Products!$C$2:$C$21,,0)</f>
        <v>30181</v>
      </c>
      <c r="F108" s="4">
        <f t="shared" si="1"/>
        <v>30181</v>
      </c>
    </row>
    <row r="109" spans="1:6" x14ac:dyDescent="0.3">
      <c r="A109" s="1">
        <v>5108</v>
      </c>
      <c r="B109" s="1">
        <v>12</v>
      </c>
      <c r="C109" s="4">
        <v>1</v>
      </c>
      <c r="D109" s="1" t="str">
        <f>_xlfn.XLOOKUP(B109,Products!$A$2:$A$21,Products!$B$2:$B$21,,0)</f>
        <v>AC</v>
      </c>
      <c r="E109" s="1">
        <f>_xlfn.XLOOKUP(D109,Products!$B$2:$B$21,Products!$C$2:$C$21,,0)</f>
        <v>32456</v>
      </c>
      <c r="F109" s="4">
        <f t="shared" si="1"/>
        <v>32456</v>
      </c>
    </row>
    <row r="110" spans="1:6" x14ac:dyDescent="0.3">
      <c r="A110" s="1">
        <v>5109</v>
      </c>
      <c r="B110" s="1">
        <v>2</v>
      </c>
      <c r="C110" s="4">
        <v>3</v>
      </c>
      <c r="D110" s="1" t="str">
        <f>_xlfn.XLOOKUP(B110,Products!$A$2:$A$21,Products!$B$2:$B$21,,0)</f>
        <v>Mouse</v>
      </c>
      <c r="E110" s="1">
        <f>_xlfn.XLOOKUP(D110,Products!$B$2:$B$21,Products!$C$2:$C$21,,0)</f>
        <v>40685</v>
      </c>
      <c r="F110" s="4">
        <f t="shared" si="1"/>
        <v>122055</v>
      </c>
    </row>
    <row r="111" spans="1:6" x14ac:dyDescent="0.3">
      <c r="A111" s="1">
        <v>5110</v>
      </c>
      <c r="B111" s="1">
        <v>4</v>
      </c>
      <c r="C111" s="4">
        <v>1</v>
      </c>
      <c r="D111" s="1" t="str">
        <f>_xlfn.XLOOKUP(B111,Products!$A$2:$A$21,Products!$B$2:$B$21,,0)</f>
        <v>Monitor</v>
      </c>
      <c r="E111" s="1">
        <f>_xlfn.XLOOKUP(D111,Products!$B$2:$B$21,Products!$C$2:$C$21,,0)</f>
        <v>30181</v>
      </c>
      <c r="F111" s="4">
        <f t="shared" si="1"/>
        <v>30181</v>
      </c>
    </row>
    <row r="112" spans="1:6" x14ac:dyDescent="0.3">
      <c r="A112" s="1">
        <v>5111</v>
      </c>
      <c r="B112" s="1">
        <v>9</v>
      </c>
      <c r="C112" s="4">
        <v>2</v>
      </c>
      <c r="D112" s="1" t="str">
        <f>_xlfn.XLOOKUP(B112,Products!$A$2:$A$21,Products!$B$2:$B$21,,0)</f>
        <v>Desk</v>
      </c>
      <c r="E112" s="1">
        <f>_xlfn.XLOOKUP(D112,Products!$B$2:$B$21,Products!$C$2:$C$21,,0)</f>
        <v>15870</v>
      </c>
      <c r="F112" s="4">
        <f t="shared" si="1"/>
        <v>31740</v>
      </c>
    </row>
    <row r="113" spans="1:6" x14ac:dyDescent="0.3">
      <c r="A113" s="1">
        <v>5112</v>
      </c>
      <c r="B113" s="1">
        <v>4</v>
      </c>
      <c r="C113" s="4">
        <v>1</v>
      </c>
      <c r="D113" s="1" t="str">
        <f>_xlfn.XLOOKUP(B113,Products!$A$2:$A$21,Products!$B$2:$B$21,,0)</f>
        <v>Monitor</v>
      </c>
      <c r="E113" s="1">
        <f>_xlfn.XLOOKUP(D113,Products!$B$2:$B$21,Products!$C$2:$C$21,,0)</f>
        <v>30181</v>
      </c>
      <c r="F113" s="4">
        <f t="shared" si="1"/>
        <v>30181</v>
      </c>
    </row>
    <row r="114" spans="1:6" x14ac:dyDescent="0.3">
      <c r="A114" s="1">
        <v>5113</v>
      </c>
      <c r="B114" s="1">
        <v>9</v>
      </c>
      <c r="C114" s="4">
        <v>5</v>
      </c>
      <c r="D114" s="1" t="str">
        <f>_xlfn.XLOOKUP(B114,Products!$A$2:$A$21,Products!$B$2:$B$21,,0)</f>
        <v>Desk</v>
      </c>
      <c r="E114" s="1">
        <f>_xlfn.XLOOKUP(D114,Products!$B$2:$B$21,Products!$C$2:$C$21,,0)</f>
        <v>15870</v>
      </c>
      <c r="F114" s="4">
        <f t="shared" si="1"/>
        <v>79350</v>
      </c>
    </row>
    <row r="115" spans="1:6" x14ac:dyDescent="0.3">
      <c r="A115" s="1">
        <v>5114</v>
      </c>
      <c r="B115" s="1">
        <v>16</v>
      </c>
      <c r="C115" s="4">
        <v>5</v>
      </c>
      <c r="D115" s="1" t="str">
        <f>_xlfn.XLOOKUP(B115,Products!$A$2:$A$21,Products!$B$2:$B$21,,0)</f>
        <v>Watch</v>
      </c>
      <c r="E115" s="1">
        <f>_xlfn.XLOOKUP(D115,Products!$B$2:$B$21,Products!$C$2:$C$21,,0)</f>
        <v>21553</v>
      </c>
      <c r="F115" s="4">
        <f t="shared" si="1"/>
        <v>107765</v>
      </c>
    </row>
    <row r="116" spans="1:6" x14ac:dyDescent="0.3">
      <c r="A116" s="1">
        <v>5115</v>
      </c>
      <c r="B116" s="1">
        <v>5</v>
      </c>
      <c r="C116" s="4">
        <v>4</v>
      </c>
      <c r="D116" s="1" t="str">
        <f>_xlfn.XLOOKUP(B116,Products!$A$2:$A$21,Products!$B$2:$B$21,,0)</f>
        <v>Tablet</v>
      </c>
      <c r="E116" s="1">
        <f>_xlfn.XLOOKUP(D116,Products!$B$2:$B$21,Products!$C$2:$C$21,,0)</f>
        <v>13509</v>
      </c>
      <c r="F116" s="4">
        <f t="shared" si="1"/>
        <v>54036</v>
      </c>
    </row>
    <row r="117" spans="1:6" x14ac:dyDescent="0.3">
      <c r="A117" s="1">
        <v>5116</v>
      </c>
      <c r="B117" s="1">
        <v>14</v>
      </c>
      <c r="C117" s="4">
        <v>5</v>
      </c>
      <c r="D117" s="1" t="str">
        <f>_xlfn.XLOOKUP(B117,Products!$A$2:$A$21,Products!$B$2:$B$21,,0)</f>
        <v>Book</v>
      </c>
      <c r="E117" s="1">
        <f>_xlfn.XLOOKUP(D117,Products!$B$2:$B$21,Products!$C$2:$C$21,,0)</f>
        <v>23213</v>
      </c>
      <c r="F117" s="4">
        <f t="shared" si="1"/>
        <v>116065</v>
      </c>
    </row>
    <row r="118" spans="1:6" x14ac:dyDescent="0.3">
      <c r="A118" s="1">
        <v>5117</v>
      </c>
      <c r="B118" s="1">
        <v>7</v>
      </c>
      <c r="C118" s="4">
        <v>4</v>
      </c>
      <c r="D118" s="1" t="str">
        <f>_xlfn.XLOOKUP(B118,Products!$A$2:$A$21,Products!$B$2:$B$21,,0)</f>
        <v>Camera</v>
      </c>
      <c r="E118" s="1">
        <f>_xlfn.XLOOKUP(D118,Products!$B$2:$B$21,Products!$C$2:$C$21,,0)</f>
        <v>34857</v>
      </c>
      <c r="F118" s="4">
        <f t="shared" si="1"/>
        <v>139428</v>
      </c>
    </row>
    <row r="119" spans="1:6" x14ac:dyDescent="0.3">
      <c r="A119" s="1">
        <v>5118</v>
      </c>
      <c r="B119" s="1">
        <v>20</v>
      </c>
      <c r="C119" s="4">
        <v>4</v>
      </c>
      <c r="D119" s="1" t="str">
        <f>_xlfn.XLOOKUP(B119,Products!$A$2:$A$21,Products!$B$2:$B$21,,0)</f>
        <v>SSD</v>
      </c>
      <c r="E119" s="1">
        <f>_xlfn.XLOOKUP(D119,Products!$B$2:$B$21,Products!$C$2:$C$21,,0)</f>
        <v>10724</v>
      </c>
      <c r="F119" s="4">
        <f t="shared" si="1"/>
        <v>42896</v>
      </c>
    </row>
    <row r="120" spans="1:6" x14ac:dyDescent="0.3">
      <c r="A120" s="1">
        <v>5119</v>
      </c>
      <c r="B120" s="1">
        <v>12</v>
      </c>
      <c r="C120" s="4">
        <v>5</v>
      </c>
      <c r="D120" s="1" t="str">
        <f>_xlfn.XLOOKUP(B120,Products!$A$2:$A$21,Products!$B$2:$B$21,,0)</f>
        <v>AC</v>
      </c>
      <c r="E120" s="1">
        <f>_xlfn.XLOOKUP(D120,Products!$B$2:$B$21,Products!$C$2:$C$21,,0)</f>
        <v>32456</v>
      </c>
      <c r="F120" s="4">
        <f t="shared" si="1"/>
        <v>162280</v>
      </c>
    </row>
    <row r="121" spans="1:6" x14ac:dyDescent="0.3">
      <c r="A121" s="1">
        <v>5120</v>
      </c>
      <c r="B121" s="1">
        <v>4</v>
      </c>
      <c r="C121" s="4">
        <v>5</v>
      </c>
      <c r="D121" s="1" t="str">
        <f>_xlfn.XLOOKUP(B121,Products!$A$2:$A$21,Products!$B$2:$B$21,,0)</f>
        <v>Monitor</v>
      </c>
      <c r="E121" s="1">
        <f>_xlfn.XLOOKUP(D121,Products!$B$2:$B$21,Products!$C$2:$C$21,,0)</f>
        <v>30181</v>
      </c>
      <c r="F121" s="4">
        <f t="shared" si="1"/>
        <v>150905</v>
      </c>
    </row>
    <row r="122" spans="1:6" x14ac:dyDescent="0.3">
      <c r="A122" s="1">
        <v>5121</v>
      </c>
      <c r="B122" s="1">
        <v>5</v>
      </c>
      <c r="C122" s="4">
        <v>3</v>
      </c>
      <c r="D122" s="1" t="str">
        <f>_xlfn.XLOOKUP(B122,Products!$A$2:$A$21,Products!$B$2:$B$21,,0)</f>
        <v>Tablet</v>
      </c>
      <c r="E122" s="1">
        <f>_xlfn.XLOOKUP(D122,Products!$B$2:$B$21,Products!$C$2:$C$21,,0)</f>
        <v>13509</v>
      </c>
      <c r="F122" s="4">
        <f t="shared" si="1"/>
        <v>40527</v>
      </c>
    </row>
    <row r="123" spans="1:6" x14ac:dyDescent="0.3">
      <c r="A123" s="1">
        <v>5122</v>
      </c>
      <c r="B123" s="1">
        <v>7</v>
      </c>
      <c r="C123" s="4">
        <v>4</v>
      </c>
      <c r="D123" s="1" t="str">
        <f>_xlfn.XLOOKUP(B123,Products!$A$2:$A$21,Products!$B$2:$B$21,,0)</f>
        <v>Camera</v>
      </c>
      <c r="E123" s="1">
        <f>_xlfn.XLOOKUP(D123,Products!$B$2:$B$21,Products!$C$2:$C$21,,0)</f>
        <v>34857</v>
      </c>
      <c r="F123" s="4">
        <f t="shared" si="1"/>
        <v>139428</v>
      </c>
    </row>
    <row r="124" spans="1:6" x14ac:dyDescent="0.3">
      <c r="A124" s="1">
        <v>5123</v>
      </c>
      <c r="B124" s="1">
        <v>11</v>
      </c>
      <c r="C124" s="4">
        <v>5</v>
      </c>
      <c r="D124" s="1" t="str">
        <f>_xlfn.XLOOKUP(B124,Products!$A$2:$A$21,Products!$B$2:$B$21,,0)</f>
        <v>Fan</v>
      </c>
      <c r="E124" s="1">
        <f>_xlfn.XLOOKUP(D124,Products!$B$2:$B$21,Products!$C$2:$C$21,,0)</f>
        <v>45046</v>
      </c>
      <c r="F124" s="4">
        <f t="shared" si="1"/>
        <v>225230</v>
      </c>
    </row>
    <row r="125" spans="1:6" x14ac:dyDescent="0.3">
      <c r="A125" s="1">
        <v>5124</v>
      </c>
      <c r="B125" s="1">
        <v>3</v>
      </c>
      <c r="C125" s="4">
        <v>4</v>
      </c>
      <c r="D125" s="1" t="str">
        <f>_xlfn.XLOOKUP(B125,Products!$A$2:$A$21,Products!$B$2:$B$21,,0)</f>
        <v>Keyboard</v>
      </c>
      <c r="E125" s="1">
        <f>_xlfn.XLOOKUP(D125,Products!$B$2:$B$21,Products!$C$2:$C$21,,0)</f>
        <v>26587</v>
      </c>
      <c r="F125" s="4">
        <f t="shared" si="1"/>
        <v>106348</v>
      </c>
    </row>
    <row r="126" spans="1:6" x14ac:dyDescent="0.3">
      <c r="A126" s="1">
        <v>5125</v>
      </c>
      <c r="B126" s="1">
        <v>5</v>
      </c>
      <c r="C126" s="4">
        <v>1</v>
      </c>
      <c r="D126" s="1" t="str">
        <f>_xlfn.XLOOKUP(B126,Products!$A$2:$A$21,Products!$B$2:$B$21,,0)</f>
        <v>Tablet</v>
      </c>
      <c r="E126" s="1">
        <f>_xlfn.XLOOKUP(D126,Products!$B$2:$B$21,Products!$C$2:$C$21,,0)</f>
        <v>13509</v>
      </c>
      <c r="F126" s="4">
        <f t="shared" si="1"/>
        <v>13509</v>
      </c>
    </row>
    <row r="127" spans="1:6" x14ac:dyDescent="0.3">
      <c r="A127" s="1">
        <v>5126</v>
      </c>
      <c r="B127" s="1">
        <v>20</v>
      </c>
      <c r="C127" s="4">
        <v>5</v>
      </c>
      <c r="D127" s="1" t="str">
        <f>_xlfn.XLOOKUP(B127,Products!$A$2:$A$21,Products!$B$2:$B$21,,0)</f>
        <v>SSD</v>
      </c>
      <c r="E127" s="1">
        <f>_xlfn.XLOOKUP(D127,Products!$B$2:$B$21,Products!$C$2:$C$21,,0)</f>
        <v>10724</v>
      </c>
      <c r="F127" s="4">
        <f t="shared" si="1"/>
        <v>53620</v>
      </c>
    </row>
    <row r="128" spans="1:6" x14ac:dyDescent="0.3">
      <c r="A128" s="1">
        <v>5127</v>
      </c>
      <c r="B128" s="1">
        <v>10</v>
      </c>
      <c r="C128" s="4">
        <v>3</v>
      </c>
      <c r="D128" s="1" t="str">
        <f>_xlfn.XLOOKUP(B128,Products!$A$2:$A$21,Products!$B$2:$B$21,,0)</f>
        <v>Chair</v>
      </c>
      <c r="E128" s="1">
        <f>_xlfn.XLOOKUP(D128,Products!$B$2:$B$21,Products!$C$2:$C$21,,0)</f>
        <v>18164</v>
      </c>
      <c r="F128" s="4">
        <f t="shared" si="1"/>
        <v>54492</v>
      </c>
    </row>
    <row r="129" spans="1:6" x14ac:dyDescent="0.3">
      <c r="A129" s="1">
        <v>5128</v>
      </c>
      <c r="B129" s="1">
        <v>15</v>
      </c>
      <c r="C129" s="4">
        <v>2</v>
      </c>
      <c r="D129" s="1" t="str">
        <f>_xlfn.XLOOKUP(B129,Products!$A$2:$A$21,Products!$B$2:$B$21,,0)</f>
        <v>Bag</v>
      </c>
      <c r="E129" s="1">
        <f>_xlfn.XLOOKUP(D129,Products!$B$2:$B$21,Products!$C$2:$C$21,,0)</f>
        <v>12567</v>
      </c>
      <c r="F129" s="4">
        <f t="shared" si="1"/>
        <v>25134</v>
      </c>
    </row>
    <row r="130" spans="1:6" x14ac:dyDescent="0.3">
      <c r="A130" s="1">
        <v>5129</v>
      </c>
      <c r="B130" s="1">
        <v>3</v>
      </c>
      <c r="C130" s="4">
        <v>2</v>
      </c>
      <c r="D130" s="1" t="str">
        <f>_xlfn.XLOOKUP(B130,Products!$A$2:$A$21,Products!$B$2:$B$21,,0)</f>
        <v>Keyboard</v>
      </c>
      <c r="E130" s="1">
        <f>_xlfn.XLOOKUP(D130,Products!$B$2:$B$21,Products!$C$2:$C$21,,0)</f>
        <v>26587</v>
      </c>
      <c r="F130" s="4">
        <f t="shared" si="1"/>
        <v>53174</v>
      </c>
    </row>
    <row r="131" spans="1:6" x14ac:dyDescent="0.3">
      <c r="A131" s="1">
        <v>5130</v>
      </c>
      <c r="B131" s="1">
        <v>3</v>
      </c>
      <c r="C131" s="4">
        <v>3</v>
      </c>
      <c r="D131" s="1" t="str">
        <f>_xlfn.XLOOKUP(B131,Products!$A$2:$A$21,Products!$B$2:$B$21,,0)</f>
        <v>Keyboard</v>
      </c>
      <c r="E131" s="1">
        <f>_xlfn.XLOOKUP(D131,Products!$B$2:$B$21,Products!$C$2:$C$21,,0)</f>
        <v>26587</v>
      </c>
      <c r="F131" s="4">
        <f t="shared" ref="F131:F194" si="2">C131*E131</f>
        <v>79761</v>
      </c>
    </row>
    <row r="132" spans="1:6" x14ac:dyDescent="0.3">
      <c r="A132" s="1">
        <v>5131</v>
      </c>
      <c r="B132" s="1">
        <v>4</v>
      </c>
      <c r="C132" s="4">
        <v>4</v>
      </c>
      <c r="D132" s="1" t="str">
        <f>_xlfn.XLOOKUP(B132,Products!$A$2:$A$21,Products!$B$2:$B$21,,0)</f>
        <v>Monitor</v>
      </c>
      <c r="E132" s="1">
        <f>_xlfn.XLOOKUP(D132,Products!$B$2:$B$21,Products!$C$2:$C$21,,0)</f>
        <v>30181</v>
      </c>
      <c r="F132" s="4">
        <f t="shared" si="2"/>
        <v>120724</v>
      </c>
    </row>
    <row r="133" spans="1:6" x14ac:dyDescent="0.3">
      <c r="A133" s="1">
        <v>5132</v>
      </c>
      <c r="B133" s="1">
        <v>16</v>
      </c>
      <c r="C133" s="4">
        <v>5</v>
      </c>
      <c r="D133" s="1" t="str">
        <f>_xlfn.XLOOKUP(B133,Products!$A$2:$A$21,Products!$B$2:$B$21,,0)</f>
        <v>Watch</v>
      </c>
      <c r="E133" s="1">
        <f>_xlfn.XLOOKUP(D133,Products!$B$2:$B$21,Products!$C$2:$C$21,,0)</f>
        <v>21553</v>
      </c>
      <c r="F133" s="4">
        <f t="shared" si="2"/>
        <v>107765</v>
      </c>
    </row>
    <row r="134" spans="1:6" x14ac:dyDescent="0.3">
      <c r="A134" s="1">
        <v>5133</v>
      </c>
      <c r="B134" s="1">
        <v>13</v>
      </c>
      <c r="C134" s="4">
        <v>5</v>
      </c>
      <c r="D134" s="1" t="str">
        <f>_xlfn.XLOOKUP(B134,Products!$A$2:$A$21,Products!$B$2:$B$21,,0)</f>
        <v>Pen</v>
      </c>
      <c r="E134" s="1">
        <f>_xlfn.XLOOKUP(D134,Products!$B$2:$B$21,Products!$C$2:$C$21,,0)</f>
        <v>3900</v>
      </c>
      <c r="F134" s="4">
        <f t="shared" si="2"/>
        <v>19500</v>
      </c>
    </row>
    <row r="135" spans="1:6" x14ac:dyDescent="0.3">
      <c r="A135" s="1">
        <v>5134</v>
      </c>
      <c r="B135" s="1">
        <v>14</v>
      </c>
      <c r="C135" s="4">
        <v>5</v>
      </c>
      <c r="D135" s="1" t="str">
        <f>_xlfn.XLOOKUP(B135,Products!$A$2:$A$21,Products!$B$2:$B$21,,0)</f>
        <v>Book</v>
      </c>
      <c r="E135" s="1">
        <f>_xlfn.XLOOKUP(D135,Products!$B$2:$B$21,Products!$C$2:$C$21,,0)</f>
        <v>23213</v>
      </c>
      <c r="F135" s="4">
        <f t="shared" si="2"/>
        <v>116065</v>
      </c>
    </row>
    <row r="136" spans="1:6" x14ac:dyDescent="0.3">
      <c r="A136" s="1">
        <v>5135</v>
      </c>
      <c r="B136" s="1">
        <v>19</v>
      </c>
      <c r="C136" s="4">
        <v>1</v>
      </c>
      <c r="D136" s="1" t="str">
        <f>_xlfn.XLOOKUP(B136,Products!$A$2:$A$21,Products!$B$2:$B$21,,0)</f>
        <v>Router</v>
      </c>
      <c r="E136" s="1">
        <f>_xlfn.XLOOKUP(D136,Products!$B$2:$B$21,Products!$C$2:$C$21,,0)</f>
        <v>37165</v>
      </c>
      <c r="F136" s="4">
        <f t="shared" si="2"/>
        <v>37165</v>
      </c>
    </row>
    <row r="137" spans="1:6" x14ac:dyDescent="0.3">
      <c r="A137" s="1">
        <v>5136</v>
      </c>
      <c r="B137" s="1">
        <v>12</v>
      </c>
      <c r="C137" s="4">
        <v>4</v>
      </c>
      <c r="D137" s="1" t="str">
        <f>_xlfn.XLOOKUP(B137,Products!$A$2:$A$21,Products!$B$2:$B$21,,0)</f>
        <v>AC</v>
      </c>
      <c r="E137" s="1">
        <f>_xlfn.XLOOKUP(D137,Products!$B$2:$B$21,Products!$C$2:$C$21,,0)</f>
        <v>32456</v>
      </c>
      <c r="F137" s="4">
        <f t="shared" si="2"/>
        <v>129824</v>
      </c>
    </row>
    <row r="138" spans="1:6" x14ac:dyDescent="0.3">
      <c r="A138" s="1">
        <v>5137</v>
      </c>
      <c r="B138" s="1">
        <v>19</v>
      </c>
      <c r="C138" s="4">
        <v>1</v>
      </c>
      <c r="D138" s="1" t="str">
        <f>_xlfn.XLOOKUP(B138,Products!$A$2:$A$21,Products!$B$2:$B$21,,0)</f>
        <v>Router</v>
      </c>
      <c r="E138" s="1">
        <f>_xlfn.XLOOKUP(D138,Products!$B$2:$B$21,Products!$C$2:$C$21,,0)</f>
        <v>37165</v>
      </c>
      <c r="F138" s="4">
        <f t="shared" si="2"/>
        <v>37165</v>
      </c>
    </row>
    <row r="139" spans="1:6" x14ac:dyDescent="0.3">
      <c r="A139" s="1">
        <v>5138</v>
      </c>
      <c r="B139" s="1">
        <v>17</v>
      </c>
      <c r="C139" s="4">
        <v>1</v>
      </c>
      <c r="D139" s="1" t="str">
        <f>_xlfn.XLOOKUP(B139,Products!$A$2:$A$21,Products!$B$2:$B$21,,0)</f>
        <v>TV</v>
      </c>
      <c r="E139" s="1">
        <f>_xlfn.XLOOKUP(D139,Products!$B$2:$B$21,Products!$C$2:$C$21,,0)</f>
        <v>25434</v>
      </c>
      <c r="F139" s="4">
        <f t="shared" si="2"/>
        <v>25434</v>
      </c>
    </row>
    <row r="140" spans="1:6" x14ac:dyDescent="0.3">
      <c r="A140" s="1">
        <v>5139</v>
      </c>
      <c r="B140" s="1">
        <v>7</v>
      </c>
      <c r="C140" s="4">
        <v>2</v>
      </c>
      <c r="D140" s="1" t="str">
        <f>_xlfn.XLOOKUP(B140,Products!$A$2:$A$21,Products!$B$2:$B$21,,0)</f>
        <v>Camera</v>
      </c>
      <c r="E140" s="1">
        <f>_xlfn.XLOOKUP(D140,Products!$B$2:$B$21,Products!$C$2:$C$21,,0)</f>
        <v>34857</v>
      </c>
      <c r="F140" s="4">
        <f t="shared" si="2"/>
        <v>69714</v>
      </c>
    </row>
    <row r="141" spans="1:6" x14ac:dyDescent="0.3">
      <c r="A141" s="1">
        <v>5140</v>
      </c>
      <c r="B141" s="1">
        <v>8</v>
      </c>
      <c r="C141" s="4">
        <v>2</v>
      </c>
      <c r="D141" s="1" t="str">
        <f>_xlfn.XLOOKUP(B141,Products!$A$2:$A$21,Products!$B$2:$B$21,,0)</f>
        <v>Printer</v>
      </c>
      <c r="E141" s="1">
        <f>_xlfn.XLOOKUP(D141,Products!$B$2:$B$21,Products!$C$2:$C$21,,0)</f>
        <v>31589</v>
      </c>
      <c r="F141" s="4">
        <f t="shared" si="2"/>
        <v>63178</v>
      </c>
    </row>
    <row r="142" spans="1:6" x14ac:dyDescent="0.3">
      <c r="A142" s="1">
        <v>5141</v>
      </c>
      <c r="B142" s="1">
        <v>17</v>
      </c>
      <c r="C142" s="4">
        <v>2</v>
      </c>
      <c r="D142" s="1" t="str">
        <f>_xlfn.XLOOKUP(B142,Products!$A$2:$A$21,Products!$B$2:$B$21,,0)</f>
        <v>TV</v>
      </c>
      <c r="E142" s="1">
        <f>_xlfn.XLOOKUP(D142,Products!$B$2:$B$21,Products!$C$2:$C$21,,0)</f>
        <v>25434</v>
      </c>
      <c r="F142" s="4">
        <f t="shared" si="2"/>
        <v>50868</v>
      </c>
    </row>
    <row r="143" spans="1:6" x14ac:dyDescent="0.3">
      <c r="A143" s="1">
        <v>5142</v>
      </c>
      <c r="B143" s="1">
        <v>4</v>
      </c>
      <c r="C143" s="4">
        <v>2</v>
      </c>
      <c r="D143" s="1" t="str">
        <f>_xlfn.XLOOKUP(B143,Products!$A$2:$A$21,Products!$B$2:$B$21,,0)</f>
        <v>Monitor</v>
      </c>
      <c r="E143" s="1">
        <f>_xlfn.XLOOKUP(D143,Products!$B$2:$B$21,Products!$C$2:$C$21,,0)</f>
        <v>30181</v>
      </c>
      <c r="F143" s="4">
        <f t="shared" si="2"/>
        <v>60362</v>
      </c>
    </row>
    <row r="144" spans="1:6" x14ac:dyDescent="0.3">
      <c r="A144" s="1">
        <v>5143</v>
      </c>
      <c r="B144" s="1">
        <v>14</v>
      </c>
      <c r="C144" s="4">
        <v>1</v>
      </c>
      <c r="D144" s="1" t="str">
        <f>_xlfn.XLOOKUP(B144,Products!$A$2:$A$21,Products!$B$2:$B$21,,0)</f>
        <v>Book</v>
      </c>
      <c r="E144" s="1">
        <f>_xlfn.XLOOKUP(D144,Products!$B$2:$B$21,Products!$C$2:$C$21,,0)</f>
        <v>23213</v>
      </c>
      <c r="F144" s="4">
        <f t="shared" si="2"/>
        <v>23213</v>
      </c>
    </row>
    <row r="145" spans="1:6" x14ac:dyDescent="0.3">
      <c r="A145" s="1">
        <v>5144</v>
      </c>
      <c r="B145" s="1">
        <v>4</v>
      </c>
      <c r="C145" s="4">
        <v>1</v>
      </c>
      <c r="D145" s="1" t="str">
        <f>_xlfn.XLOOKUP(B145,Products!$A$2:$A$21,Products!$B$2:$B$21,,0)</f>
        <v>Monitor</v>
      </c>
      <c r="E145" s="1">
        <f>_xlfn.XLOOKUP(D145,Products!$B$2:$B$21,Products!$C$2:$C$21,,0)</f>
        <v>30181</v>
      </c>
      <c r="F145" s="4">
        <f t="shared" si="2"/>
        <v>30181</v>
      </c>
    </row>
    <row r="146" spans="1:6" x14ac:dyDescent="0.3">
      <c r="A146" s="1">
        <v>5145</v>
      </c>
      <c r="B146" s="1">
        <v>8</v>
      </c>
      <c r="C146" s="4">
        <v>2</v>
      </c>
      <c r="D146" s="1" t="str">
        <f>_xlfn.XLOOKUP(B146,Products!$A$2:$A$21,Products!$B$2:$B$21,,0)</f>
        <v>Printer</v>
      </c>
      <c r="E146" s="1">
        <f>_xlfn.XLOOKUP(D146,Products!$B$2:$B$21,Products!$C$2:$C$21,,0)</f>
        <v>31589</v>
      </c>
      <c r="F146" s="4">
        <f t="shared" si="2"/>
        <v>63178</v>
      </c>
    </row>
    <row r="147" spans="1:6" x14ac:dyDescent="0.3">
      <c r="A147" s="1">
        <v>5146</v>
      </c>
      <c r="B147" s="1">
        <v>15</v>
      </c>
      <c r="C147" s="4">
        <v>1</v>
      </c>
      <c r="D147" s="1" t="str">
        <f>_xlfn.XLOOKUP(B147,Products!$A$2:$A$21,Products!$B$2:$B$21,,0)</f>
        <v>Bag</v>
      </c>
      <c r="E147" s="1">
        <f>_xlfn.XLOOKUP(D147,Products!$B$2:$B$21,Products!$C$2:$C$21,,0)</f>
        <v>12567</v>
      </c>
      <c r="F147" s="4">
        <f t="shared" si="2"/>
        <v>12567</v>
      </c>
    </row>
    <row r="148" spans="1:6" x14ac:dyDescent="0.3">
      <c r="A148" s="1">
        <v>5147</v>
      </c>
      <c r="B148" s="1">
        <v>18</v>
      </c>
      <c r="C148" s="4">
        <v>3</v>
      </c>
      <c r="D148" s="1" t="str">
        <f>_xlfn.XLOOKUP(B148,Products!$A$2:$A$21,Products!$B$2:$B$21,,0)</f>
        <v>Speaker</v>
      </c>
      <c r="E148" s="1">
        <f>_xlfn.XLOOKUP(D148,Products!$B$2:$B$21,Products!$C$2:$C$21,,0)</f>
        <v>28829</v>
      </c>
      <c r="F148" s="4">
        <f t="shared" si="2"/>
        <v>86487</v>
      </c>
    </row>
    <row r="149" spans="1:6" x14ac:dyDescent="0.3">
      <c r="A149" s="1">
        <v>5148</v>
      </c>
      <c r="B149" s="1">
        <v>20</v>
      </c>
      <c r="C149" s="4">
        <v>3</v>
      </c>
      <c r="D149" s="1" t="str">
        <f>_xlfn.XLOOKUP(B149,Products!$A$2:$A$21,Products!$B$2:$B$21,,0)</f>
        <v>SSD</v>
      </c>
      <c r="E149" s="1">
        <f>_xlfn.XLOOKUP(D149,Products!$B$2:$B$21,Products!$C$2:$C$21,,0)</f>
        <v>10724</v>
      </c>
      <c r="F149" s="4">
        <f t="shared" si="2"/>
        <v>32172</v>
      </c>
    </row>
    <row r="150" spans="1:6" x14ac:dyDescent="0.3">
      <c r="A150" s="1">
        <v>5149</v>
      </c>
      <c r="B150" s="1">
        <v>1</v>
      </c>
      <c r="C150" s="4">
        <v>1</v>
      </c>
      <c r="D150" s="1" t="str">
        <f>_xlfn.XLOOKUP(B150,Products!$A$2:$A$21,Products!$B$2:$B$21,,0)</f>
        <v>Laptop</v>
      </c>
      <c r="E150" s="1">
        <f>_xlfn.XLOOKUP(D150,Products!$B$2:$B$21,Products!$C$2:$C$21,,0)</f>
        <v>34130</v>
      </c>
      <c r="F150" s="4">
        <f t="shared" si="2"/>
        <v>34130</v>
      </c>
    </row>
    <row r="151" spans="1:6" x14ac:dyDescent="0.3">
      <c r="A151" s="1">
        <v>5150</v>
      </c>
      <c r="B151" s="1">
        <v>12</v>
      </c>
      <c r="C151" s="4">
        <v>2</v>
      </c>
      <c r="D151" s="1" t="str">
        <f>_xlfn.XLOOKUP(B151,Products!$A$2:$A$21,Products!$B$2:$B$21,,0)</f>
        <v>AC</v>
      </c>
      <c r="E151" s="1">
        <f>_xlfn.XLOOKUP(D151,Products!$B$2:$B$21,Products!$C$2:$C$21,,0)</f>
        <v>32456</v>
      </c>
      <c r="F151" s="4">
        <f t="shared" si="2"/>
        <v>64912</v>
      </c>
    </row>
    <row r="152" spans="1:6" x14ac:dyDescent="0.3">
      <c r="A152" s="1">
        <v>5151</v>
      </c>
      <c r="B152" s="1">
        <v>20</v>
      </c>
      <c r="C152" s="4">
        <v>3</v>
      </c>
      <c r="D152" s="1" t="str">
        <f>_xlfn.XLOOKUP(B152,Products!$A$2:$A$21,Products!$B$2:$B$21,,0)</f>
        <v>SSD</v>
      </c>
      <c r="E152" s="1">
        <f>_xlfn.XLOOKUP(D152,Products!$B$2:$B$21,Products!$C$2:$C$21,,0)</f>
        <v>10724</v>
      </c>
      <c r="F152" s="4">
        <f t="shared" si="2"/>
        <v>32172</v>
      </c>
    </row>
    <row r="153" spans="1:6" x14ac:dyDescent="0.3">
      <c r="A153" s="1">
        <v>5152</v>
      </c>
      <c r="B153" s="1">
        <v>18</v>
      </c>
      <c r="C153" s="4">
        <v>5</v>
      </c>
      <c r="D153" s="1" t="str">
        <f>_xlfn.XLOOKUP(B153,Products!$A$2:$A$21,Products!$B$2:$B$21,,0)</f>
        <v>Speaker</v>
      </c>
      <c r="E153" s="1">
        <f>_xlfn.XLOOKUP(D153,Products!$B$2:$B$21,Products!$C$2:$C$21,,0)</f>
        <v>28829</v>
      </c>
      <c r="F153" s="4">
        <f t="shared" si="2"/>
        <v>144145</v>
      </c>
    </row>
    <row r="154" spans="1:6" x14ac:dyDescent="0.3">
      <c r="A154" s="1">
        <v>5153</v>
      </c>
      <c r="B154" s="1">
        <v>20</v>
      </c>
      <c r="C154" s="4">
        <v>4</v>
      </c>
      <c r="D154" s="1" t="str">
        <f>_xlfn.XLOOKUP(B154,Products!$A$2:$A$21,Products!$B$2:$B$21,,0)</f>
        <v>SSD</v>
      </c>
      <c r="E154" s="1">
        <f>_xlfn.XLOOKUP(D154,Products!$B$2:$B$21,Products!$C$2:$C$21,,0)</f>
        <v>10724</v>
      </c>
      <c r="F154" s="4">
        <f t="shared" si="2"/>
        <v>42896</v>
      </c>
    </row>
    <row r="155" spans="1:6" x14ac:dyDescent="0.3">
      <c r="A155" s="1">
        <v>5154</v>
      </c>
      <c r="B155" s="1">
        <v>14</v>
      </c>
      <c r="C155" s="4">
        <v>3</v>
      </c>
      <c r="D155" s="1" t="str">
        <f>_xlfn.XLOOKUP(B155,Products!$A$2:$A$21,Products!$B$2:$B$21,,0)</f>
        <v>Book</v>
      </c>
      <c r="E155" s="1">
        <f>_xlfn.XLOOKUP(D155,Products!$B$2:$B$21,Products!$C$2:$C$21,,0)</f>
        <v>23213</v>
      </c>
      <c r="F155" s="4">
        <f t="shared" si="2"/>
        <v>69639</v>
      </c>
    </row>
    <row r="156" spans="1:6" x14ac:dyDescent="0.3">
      <c r="A156" s="1">
        <v>5155</v>
      </c>
      <c r="B156" s="1">
        <v>12</v>
      </c>
      <c r="C156" s="4">
        <v>3</v>
      </c>
      <c r="D156" s="1" t="str">
        <f>_xlfn.XLOOKUP(B156,Products!$A$2:$A$21,Products!$B$2:$B$21,,0)</f>
        <v>AC</v>
      </c>
      <c r="E156" s="1">
        <f>_xlfn.XLOOKUP(D156,Products!$B$2:$B$21,Products!$C$2:$C$21,,0)</f>
        <v>32456</v>
      </c>
      <c r="F156" s="4">
        <f t="shared" si="2"/>
        <v>97368</v>
      </c>
    </row>
    <row r="157" spans="1:6" x14ac:dyDescent="0.3">
      <c r="A157" s="1">
        <v>5156</v>
      </c>
      <c r="B157" s="1">
        <v>1</v>
      </c>
      <c r="C157" s="4">
        <v>5</v>
      </c>
      <c r="D157" s="1" t="str">
        <f>_xlfn.XLOOKUP(B157,Products!$A$2:$A$21,Products!$B$2:$B$21,,0)</f>
        <v>Laptop</v>
      </c>
      <c r="E157" s="1">
        <f>_xlfn.XLOOKUP(D157,Products!$B$2:$B$21,Products!$C$2:$C$21,,0)</f>
        <v>34130</v>
      </c>
      <c r="F157" s="4">
        <f t="shared" si="2"/>
        <v>170650</v>
      </c>
    </row>
    <row r="158" spans="1:6" x14ac:dyDescent="0.3">
      <c r="A158" s="1">
        <v>5157</v>
      </c>
      <c r="B158" s="1">
        <v>10</v>
      </c>
      <c r="C158" s="4">
        <v>1</v>
      </c>
      <c r="D158" s="1" t="str">
        <f>_xlfn.XLOOKUP(B158,Products!$A$2:$A$21,Products!$B$2:$B$21,,0)</f>
        <v>Chair</v>
      </c>
      <c r="E158" s="1">
        <f>_xlfn.XLOOKUP(D158,Products!$B$2:$B$21,Products!$C$2:$C$21,,0)</f>
        <v>18164</v>
      </c>
      <c r="F158" s="4">
        <f t="shared" si="2"/>
        <v>18164</v>
      </c>
    </row>
    <row r="159" spans="1:6" x14ac:dyDescent="0.3">
      <c r="A159" s="1">
        <v>5158</v>
      </c>
      <c r="B159" s="1">
        <v>1</v>
      </c>
      <c r="C159" s="4">
        <v>3</v>
      </c>
      <c r="D159" s="1" t="str">
        <f>_xlfn.XLOOKUP(B159,Products!$A$2:$A$21,Products!$B$2:$B$21,,0)</f>
        <v>Laptop</v>
      </c>
      <c r="E159" s="1">
        <f>_xlfn.XLOOKUP(D159,Products!$B$2:$B$21,Products!$C$2:$C$21,,0)</f>
        <v>34130</v>
      </c>
      <c r="F159" s="4">
        <f t="shared" si="2"/>
        <v>102390</v>
      </c>
    </row>
    <row r="160" spans="1:6" x14ac:dyDescent="0.3">
      <c r="A160" s="1">
        <v>5159</v>
      </c>
      <c r="B160" s="1">
        <v>8</v>
      </c>
      <c r="C160" s="4">
        <v>3</v>
      </c>
      <c r="D160" s="1" t="str">
        <f>_xlfn.XLOOKUP(B160,Products!$A$2:$A$21,Products!$B$2:$B$21,,0)</f>
        <v>Printer</v>
      </c>
      <c r="E160" s="1">
        <f>_xlfn.XLOOKUP(D160,Products!$B$2:$B$21,Products!$C$2:$C$21,,0)</f>
        <v>31589</v>
      </c>
      <c r="F160" s="4">
        <f t="shared" si="2"/>
        <v>94767</v>
      </c>
    </row>
    <row r="161" spans="1:6" x14ac:dyDescent="0.3">
      <c r="A161" s="1">
        <v>5160</v>
      </c>
      <c r="B161" s="1">
        <v>1</v>
      </c>
      <c r="C161" s="4">
        <v>3</v>
      </c>
      <c r="D161" s="1" t="str">
        <f>_xlfn.XLOOKUP(B161,Products!$A$2:$A$21,Products!$B$2:$B$21,,0)</f>
        <v>Laptop</v>
      </c>
      <c r="E161" s="1">
        <f>_xlfn.XLOOKUP(D161,Products!$B$2:$B$21,Products!$C$2:$C$21,,0)</f>
        <v>34130</v>
      </c>
      <c r="F161" s="4">
        <f t="shared" si="2"/>
        <v>102390</v>
      </c>
    </row>
    <row r="162" spans="1:6" x14ac:dyDescent="0.3">
      <c r="A162" s="1">
        <v>5161</v>
      </c>
      <c r="B162" s="1">
        <v>18</v>
      </c>
      <c r="C162" s="4">
        <v>2</v>
      </c>
      <c r="D162" s="1" t="str">
        <f>_xlfn.XLOOKUP(B162,Products!$A$2:$A$21,Products!$B$2:$B$21,,0)</f>
        <v>Speaker</v>
      </c>
      <c r="E162" s="1">
        <f>_xlfn.XLOOKUP(D162,Products!$B$2:$B$21,Products!$C$2:$C$21,,0)</f>
        <v>28829</v>
      </c>
      <c r="F162" s="4">
        <f t="shared" si="2"/>
        <v>57658</v>
      </c>
    </row>
    <row r="163" spans="1:6" x14ac:dyDescent="0.3">
      <c r="A163" s="1">
        <v>5162</v>
      </c>
      <c r="B163" s="1">
        <v>8</v>
      </c>
      <c r="C163" s="4">
        <v>3</v>
      </c>
      <c r="D163" s="1" t="str">
        <f>_xlfn.XLOOKUP(B163,Products!$A$2:$A$21,Products!$B$2:$B$21,,0)</f>
        <v>Printer</v>
      </c>
      <c r="E163" s="1">
        <f>_xlfn.XLOOKUP(D163,Products!$B$2:$B$21,Products!$C$2:$C$21,,0)</f>
        <v>31589</v>
      </c>
      <c r="F163" s="4">
        <f t="shared" si="2"/>
        <v>94767</v>
      </c>
    </row>
    <row r="164" spans="1:6" x14ac:dyDescent="0.3">
      <c r="A164" s="1">
        <v>5163</v>
      </c>
      <c r="B164" s="1">
        <v>19</v>
      </c>
      <c r="C164" s="4">
        <v>1</v>
      </c>
      <c r="D164" s="1" t="str">
        <f>_xlfn.XLOOKUP(B164,Products!$A$2:$A$21,Products!$B$2:$B$21,,0)</f>
        <v>Router</v>
      </c>
      <c r="E164" s="1">
        <f>_xlfn.XLOOKUP(D164,Products!$B$2:$B$21,Products!$C$2:$C$21,,0)</f>
        <v>37165</v>
      </c>
      <c r="F164" s="4">
        <f t="shared" si="2"/>
        <v>37165</v>
      </c>
    </row>
    <row r="165" spans="1:6" x14ac:dyDescent="0.3">
      <c r="A165" s="1">
        <v>5164</v>
      </c>
      <c r="B165" s="1">
        <v>10</v>
      </c>
      <c r="C165" s="4">
        <v>2</v>
      </c>
      <c r="D165" s="1" t="str">
        <f>_xlfn.XLOOKUP(B165,Products!$A$2:$A$21,Products!$B$2:$B$21,,0)</f>
        <v>Chair</v>
      </c>
      <c r="E165" s="1">
        <f>_xlfn.XLOOKUP(D165,Products!$B$2:$B$21,Products!$C$2:$C$21,,0)</f>
        <v>18164</v>
      </c>
      <c r="F165" s="4">
        <f t="shared" si="2"/>
        <v>36328</v>
      </c>
    </row>
    <row r="166" spans="1:6" x14ac:dyDescent="0.3">
      <c r="A166" s="1">
        <v>5165</v>
      </c>
      <c r="B166" s="1">
        <v>10</v>
      </c>
      <c r="C166" s="4">
        <v>1</v>
      </c>
      <c r="D166" s="1" t="str">
        <f>_xlfn.XLOOKUP(B166,Products!$A$2:$A$21,Products!$B$2:$B$21,,0)</f>
        <v>Chair</v>
      </c>
      <c r="E166" s="1">
        <f>_xlfn.XLOOKUP(D166,Products!$B$2:$B$21,Products!$C$2:$C$21,,0)</f>
        <v>18164</v>
      </c>
      <c r="F166" s="4">
        <f t="shared" si="2"/>
        <v>18164</v>
      </c>
    </row>
    <row r="167" spans="1:6" x14ac:dyDescent="0.3">
      <c r="A167" s="1">
        <v>5166</v>
      </c>
      <c r="B167" s="1">
        <v>9</v>
      </c>
      <c r="C167" s="4">
        <v>3</v>
      </c>
      <c r="D167" s="1" t="str">
        <f>_xlfn.XLOOKUP(B167,Products!$A$2:$A$21,Products!$B$2:$B$21,,0)</f>
        <v>Desk</v>
      </c>
      <c r="E167" s="1">
        <f>_xlfn.XLOOKUP(D167,Products!$B$2:$B$21,Products!$C$2:$C$21,,0)</f>
        <v>15870</v>
      </c>
      <c r="F167" s="4">
        <f t="shared" si="2"/>
        <v>47610</v>
      </c>
    </row>
    <row r="168" spans="1:6" x14ac:dyDescent="0.3">
      <c r="A168" s="1">
        <v>5167</v>
      </c>
      <c r="B168" s="1">
        <v>18</v>
      </c>
      <c r="C168" s="4">
        <v>5</v>
      </c>
      <c r="D168" s="1" t="str">
        <f>_xlfn.XLOOKUP(B168,Products!$A$2:$A$21,Products!$B$2:$B$21,,0)</f>
        <v>Speaker</v>
      </c>
      <c r="E168" s="1">
        <f>_xlfn.XLOOKUP(D168,Products!$B$2:$B$21,Products!$C$2:$C$21,,0)</f>
        <v>28829</v>
      </c>
      <c r="F168" s="4">
        <f t="shared" si="2"/>
        <v>144145</v>
      </c>
    </row>
    <row r="169" spans="1:6" x14ac:dyDescent="0.3">
      <c r="A169" s="1">
        <v>5168</v>
      </c>
      <c r="B169" s="1">
        <v>9</v>
      </c>
      <c r="C169" s="4">
        <v>1</v>
      </c>
      <c r="D169" s="1" t="str">
        <f>_xlfn.XLOOKUP(B169,Products!$A$2:$A$21,Products!$B$2:$B$21,,0)</f>
        <v>Desk</v>
      </c>
      <c r="E169" s="1">
        <f>_xlfn.XLOOKUP(D169,Products!$B$2:$B$21,Products!$C$2:$C$21,,0)</f>
        <v>15870</v>
      </c>
      <c r="F169" s="4">
        <f t="shared" si="2"/>
        <v>15870</v>
      </c>
    </row>
    <row r="170" spans="1:6" x14ac:dyDescent="0.3">
      <c r="A170" s="1">
        <v>5169</v>
      </c>
      <c r="B170" s="1">
        <v>17</v>
      </c>
      <c r="C170" s="4">
        <v>2</v>
      </c>
      <c r="D170" s="1" t="str">
        <f>_xlfn.XLOOKUP(B170,Products!$A$2:$A$21,Products!$B$2:$B$21,,0)</f>
        <v>TV</v>
      </c>
      <c r="E170" s="1">
        <f>_xlfn.XLOOKUP(D170,Products!$B$2:$B$21,Products!$C$2:$C$21,,0)</f>
        <v>25434</v>
      </c>
      <c r="F170" s="4">
        <f t="shared" si="2"/>
        <v>50868</v>
      </c>
    </row>
    <row r="171" spans="1:6" x14ac:dyDescent="0.3">
      <c r="A171" s="1">
        <v>5170</v>
      </c>
      <c r="B171" s="1">
        <v>19</v>
      </c>
      <c r="C171" s="4">
        <v>4</v>
      </c>
      <c r="D171" s="1" t="str">
        <f>_xlfn.XLOOKUP(B171,Products!$A$2:$A$21,Products!$B$2:$B$21,,0)</f>
        <v>Router</v>
      </c>
      <c r="E171" s="1">
        <f>_xlfn.XLOOKUP(D171,Products!$B$2:$B$21,Products!$C$2:$C$21,,0)</f>
        <v>37165</v>
      </c>
      <c r="F171" s="4">
        <f t="shared" si="2"/>
        <v>148660</v>
      </c>
    </row>
    <row r="172" spans="1:6" x14ac:dyDescent="0.3">
      <c r="A172" s="1">
        <v>5171</v>
      </c>
      <c r="B172" s="1">
        <v>18</v>
      </c>
      <c r="C172" s="4">
        <v>5</v>
      </c>
      <c r="D172" s="1" t="str">
        <f>_xlfn.XLOOKUP(B172,Products!$A$2:$A$21,Products!$B$2:$B$21,,0)</f>
        <v>Speaker</v>
      </c>
      <c r="E172" s="1">
        <f>_xlfn.XLOOKUP(D172,Products!$B$2:$B$21,Products!$C$2:$C$21,,0)</f>
        <v>28829</v>
      </c>
      <c r="F172" s="4">
        <f t="shared" si="2"/>
        <v>144145</v>
      </c>
    </row>
    <row r="173" spans="1:6" x14ac:dyDescent="0.3">
      <c r="A173" s="1">
        <v>5172</v>
      </c>
      <c r="B173" s="1">
        <v>16</v>
      </c>
      <c r="C173" s="4">
        <v>4</v>
      </c>
      <c r="D173" s="1" t="str">
        <f>_xlfn.XLOOKUP(B173,Products!$A$2:$A$21,Products!$B$2:$B$21,,0)</f>
        <v>Watch</v>
      </c>
      <c r="E173" s="1">
        <f>_xlfn.XLOOKUP(D173,Products!$B$2:$B$21,Products!$C$2:$C$21,,0)</f>
        <v>21553</v>
      </c>
      <c r="F173" s="4">
        <f t="shared" si="2"/>
        <v>86212</v>
      </c>
    </row>
    <row r="174" spans="1:6" x14ac:dyDescent="0.3">
      <c r="A174" s="1">
        <v>5173</v>
      </c>
      <c r="B174" s="1">
        <v>10</v>
      </c>
      <c r="C174" s="4">
        <v>5</v>
      </c>
      <c r="D174" s="1" t="str">
        <f>_xlfn.XLOOKUP(B174,Products!$A$2:$A$21,Products!$B$2:$B$21,,0)</f>
        <v>Chair</v>
      </c>
      <c r="E174" s="1">
        <f>_xlfn.XLOOKUP(D174,Products!$B$2:$B$21,Products!$C$2:$C$21,,0)</f>
        <v>18164</v>
      </c>
      <c r="F174" s="4">
        <f t="shared" si="2"/>
        <v>90820</v>
      </c>
    </row>
    <row r="175" spans="1:6" x14ac:dyDescent="0.3">
      <c r="A175" s="1">
        <v>5174</v>
      </c>
      <c r="B175" s="1">
        <v>19</v>
      </c>
      <c r="C175" s="4">
        <v>1</v>
      </c>
      <c r="D175" s="1" t="str">
        <f>_xlfn.XLOOKUP(B175,Products!$A$2:$A$21,Products!$B$2:$B$21,,0)</f>
        <v>Router</v>
      </c>
      <c r="E175" s="1">
        <f>_xlfn.XLOOKUP(D175,Products!$B$2:$B$21,Products!$C$2:$C$21,,0)</f>
        <v>37165</v>
      </c>
      <c r="F175" s="4">
        <f t="shared" si="2"/>
        <v>37165</v>
      </c>
    </row>
    <row r="176" spans="1:6" x14ac:dyDescent="0.3">
      <c r="A176" s="1">
        <v>5175</v>
      </c>
      <c r="B176" s="1">
        <v>1</v>
      </c>
      <c r="C176" s="4">
        <v>3</v>
      </c>
      <c r="D176" s="1" t="str">
        <f>_xlfn.XLOOKUP(B176,Products!$A$2:$A$21,Products!$B$2:$B$21,,0)</f>
        <v>Laptop</v>
      </c>
      <c r="E176" s="1">
        <f>_xlfn.XLOOKUP(D176,Products!$B$2:$B$21,Products!$C$2:$C$21,,0)</f>
        <v>34130</v>
      </c>
      <c r="F176" s="4">
        <f t="shared" si="2"/>
        <v>102390</v>
      </c>
    </row>
    <row r="177" spans="1:6" x14ac:dyDescent="0.3">
      <c r="A177" s="1">
        <v>5176</v>
      </c>
      <c r="B177" s="1">
        <v>8</v>
      </c>
      <c r="C177" s="4">
        <v>1</v>
      </c>
      <c r="D177" s="1" t="str">
        <f>_xlfn.XLOOKUP(B177,Products!$A$2:$A$21,Products!$B$2:$B$21,,0)</f>
        <v>Printer</v>
      </c>
      <c r="E177" s="1">
        <f>_xlfn.XLOOKUP(D177,Products!$B$2:$B$21,Products!$C$2:$C$21,,0)</f>
        <v>31589</v>
      </c>
      <c r="F177" s="4">
        <f t="shared" si="2"/>
        <v>31589</v>
      </c>
    </row>
    <row r="178" spans="1:6" x14ac:dyDescent="0.3">
      <c r="A178" s="1">
        <v>5177</v>
      </c>
      <c r="B178" s="1">
        <v>13</v>
      </c>
      <c r="C178" s="4">
        <v>2</v>
      </c>
      <c r="D178" s="1" t="str">
        <f>_xlfn.XLOOKUP(B178,Products!$A$2:$A$21,Products!$B$2:$B$21,,0)</f>
        <v>Pen</v>
      </c>
      <c r="E178" s="1">
        <f>_xlfn.XLOOKUP(D178,Products!$B$2:$B$21,Products!$C$2:$C$21,,0)</f>
        <v>3900</v>
      </c>
      <c r="F178" s="4">
        <f t="shared" si="2"/>
        <v>7800</v>
      </c>
    </row>
    <row r="179" spans="1:6" x14ac:dyDescent="0.3">
      <c r="A179" s="1">
        <v>5178</v>
      </c>
      <c r="B179" s="1">
        <v>15</v>
      </c>
      <c r="C179" s="4">
        <v>4</v>
      </c>
      <c r="D179" s="1" t="str">
        <f>_xlfn.XLOOKUP(B179,Products!$A$2:$A$21,Products!$B$2:$B$21,,0)</f>
        <v>Bag</v>
      </c>
      <c r="E179" s="1">
        <f>_xlfn.XLOOKUP(D179,Products!$B$2:$B$21,Products!$C$2:$C$21,,0)</f>
        <v>12567</v>
      </c>
      <c r="F179" s="4">
        <f t="shared" si="2"/>
        <v>50268</v>
      </c>
    </row>
    <row r="180" spans="1:6" x14ac:dyDescent="0.3">
      <c r="A180" s="1">
        <v>5179</v>
      </c>
      <c r="B180" s="1">
        <v>9</v>
      </c>
      <c r="C180" s="4">
        <v>2</v>
      </c>
      <c r="D180" s="1" t="str">
        <f>_xlfn.XLOOKUP(B180,Products!$A$2:$A$21,Products!$B$2:$B$21,,0)</f>
        <v>Desk</v>
      </c>
      <c r="E180" s="1">
        <f>_xlfn.XLOOKUP(D180,Products!$B$2:$B$21,Products!$C$2:$C$21,,0)</f>
        <v>15870</v>
      </c>
      <c r="F180" s="4">
        <f t="shared" si="2"/>
        <v>31740</v>
      </c>
    </row>
    <row r="181" spans="1:6" x14ac:dyDescent="0.3">
      <c r="A181" s="1">
        <v>5180</v>
      </c>
      <c r="B181" s="1">
        <v>20</v>
      </c>
      <c r="C181" s="4">
        <v>4</v>
      </c>
      <c r="D181" s="1" t="str">
        <f>_xlfn.XLOOKUP(B181,Products!$A$2:$A$21,Products!$B$2:$B$21,,0)</f>
        <v>SSD</v>
      </c>
      <c r="E181" s="1">
        <f>_xlfn.XLOOKUP(D181,Products!$B$2:$B$21,Products!$C$2:$C$21,,0)</f>
        <v>10724</v>
      </c>
      <c r="F181" s="4">
        <f t="shared" si="2"/>
        <v>42896</v>
      </c>
    </row>
    <row r="182" spans="1:6" x14ac:dyDescent="0.3">
      <c r="A182" s="1">
        <v>5181</v>
      </c>
      <c r="B182" s="1">
        <v>18</v>
      </c>
      <c r="C182" s="4">
        <v>4</v>
      </c>
      <c r="D182" s="1" t="str">
        <f>_xlfn.XLOOKUP(B182,Products!$A$2:$A$21,Products!$B$2:$B$21,,0)</f>
        <v>Speaker</v>
      </c>
      <c r="E182" s="1">
        <f>_xlfn.XLOOKUP(D182,Products!$B$2:$B$21,Products!$C$2:$C$21,,0)</f>
        <v>28829</v>
      </c>
      <c r="F182" s="4">
        <f t="shared" si="2"/>
        <v>115316</v>
      </c>
    </row>
    <row r="183" spans="1:6" x14ac:dyDescent="0.3">
      <c r="A183" s="1">
        <v>5182</v>
      </c>
      <c r="B183" s="1">
        <v>19</v>
      </c>
      <c r="C183" s="4">
        <v>5</v>
      </c>
      <c r="D183" s="1" t="str">
        <f>_xlfn.XLOOKUP(B183,Products!$A$2:$A$21,Products!$B$2:$B$21,,0)</f>
        <v>Router</v>
      </c>
      <c r="E183" s="1">
        <f>_xlfn.XLOOKUP(D183,Products!$B$2:$B$21,Products!$C$2:$C$21,,0)</f>
        <v>37165</v>
      </c>
      <c r="F183" s="4">
        <f t="shared" si="2"/>
        <v>185825</v>
      </c>
    </row>
    <row r="184" spans="1:6" x14ac:dyDescent="0.3">
      <c r="A184" s="1">
        <v>5183</v>
      </c>
      <c r="B184" s="1">
        <v>14</v>
      </c>
      <c r="C184" s="4">
        <v>2</v>
      </c>
      <c r="D184" s="1" t="str">
        <f>_xlfn.XLOOKUP(B184,Products!$A$2:$A$21,Products!$B$2:$B$21,,0)</f>
        <v>Book</v>
      </c>
      <c r="E184" s="1">
        <f>_xlfn.XLOOKUP(D184,Products!$B$2:$B$21,Products!$C$2:$C$21,,0)</f>
        <v>23213</v>
      </c>
      <c r="F184" s="4">
        <f t="shared" si="2"/>
        <v>46426</v>
      </c>
    </row>
    <row r="185" spans="1:6" x14ac:dyDescent="0.3">
      <c r="A185" s="1">
        <v>5184</v>
      </c>
      <c r="B185" s="1">
        <v>13</v>
      </c>
      <c r="C185" s="4">
        <v>1</v>
      </c>
      <c r="D185" s="1" t="str">
        <f>_xlfn.XLOOKUP(B185,Products!$A$2:$A$21,Products!$B$2:$B$21,,0)</f>
        <v>Pen</v>
      </c>
      <c r="E185" s="1">
        <f>_xlfn.XLOOKUP(D185,Products!$B$2:$B$21,Products!$C$2:$C$21,,0)</f>
        <v>3900</v>
      </c>
      <c r="F185" s="4">
        <f t="shared" si="2"/>
        <v>3900</v>
      </c>
    </row>
    <row r="186" spans="1:6" x14ac:dyDescent="0.3">
      <c r="A186" s="1">
        <v>5185</v>
      </c>
      <c r="B186" s="1">
        <v>6</v>
      </c>
      <c r="C186" s="4">
        <v>4</v>
      </c>
      <c r="D186" s="1" t="str">
        <f>_xlfn.XLOOKUP(B186,Products!$A$2:$A$21,Products!$B$2:$B$21,,0)</f>
        <v>Phone</v>
      </c>
      <c r="E186" s="1">
        <f>_xlfn.XLOOKUP(D186,Products!$B$2:$B$21,Products!$C$2:$C$21,,0)</f>
        <v>10250</v>
      </c>
      <c r="F186" s="4">
        <f t="shared" si="2"/>
        <v>41000</v>
      </c>
    </row>
    <row r="187" spans="1:6" x14ac:dyDescent="0.3">
      <c r="A187" s="1">
        <v>5186</v>
      </c>
      <c r="B187" s="1">
        <v>14</v>
      </c>
      <c r="C187" s="4">
        <v>4</v>
      </c>
      <c r="D187" s="1" t="str">
        <f>_xlfn.XLOOKUP(B187,Products!$A$2:$A$21,Products!$B$2:$B$21,,0)</f>
        <v>Book</v>
      </c>
      <c r="E187" s="1">
        <f>_xlfn.XLOOKUP(D187,Products!$B$2:$B$21,Products!$C$2:$C$21,,0)</f>
        <v>23213</v>
      </c>
      <c r="F187" s="4">
        <f t="shared" si="2"/>
        <v>92852</v>
      </c>
    </row>
    <row r="188" spans="1:6" x14ac:dyDescent="0.3">
      <c r="A188" s="1">
        <v>5187</v>
      </c>
      <c r="B188" s="1">
        <v>19</v>
      </c>
      <c r="C188" s="4">
        <v>4</v>
      </c>
      <c r="D188" s="1" t="str">
        <f>_xlfn.XLOOKUP(B188,Products!$A$2:$A$21,Products!$B$2:$B$21,,0)</f>
        <v>Router</v>
      </c>
      <c r="E188" s="1">
        <f>_xlfn.XLOOKUP(D188,Products!$B$2:$B$21,Products!$C$2:$C$21,,0)</f>
        <v>37165</v>
      </c>
      <c r="F188" s="4">
        <f t="shared" si="2"/>
        <v>148660</v>
      </c>
    </row>
    <row r="189" spans="1:6" x14ac:dyDescent="0.3">
      <c r="A189" s="1">
        <v>5188</v>
      </c>
      <c r="B189" s="1">
        <v>7</v>
      </c>
      <c r="C189" s="4">
        <v>5</v>
      </c>
      <c r="D189" s="1" t="str">
        <f>_xlfn.XLOOKUP(B189,Products!$A$2:$A$21,Products!$B$2:$B$21,,0)</f>
        <v>Camera</v>
      </c>
      <c r="E189" s="1">
        <f>_xlfn.XLOOKUP(D189,Products!$B$2:$B$21,Products!$C$2:$C$21,,0)</f>
        <v>34857</v>
      </c>
      <c r="F189" s="4">
        <f t="shared" si="2"/>
        <v>174285</v>
      </c>
    </row>
    <row r="190" spans="1:6" x14ac:dyDescent="0.3">
      <c r="A190" s="1">
        <v>5189</v>
      </c>
      <c r="B190" s="1">
        <v>3</v>
      </c>
      <c r="C190" s="4">
        <v>5</v>
      </c>
      <c r="D190" s="1" t="str">
        <f>_xlfn.XLOOKUP(B190,Products!$A$2:$A$21,Products!$B$2:$B$21,,0)</f>
        <v>Keyboard</v>
      </c>
      <c r="E190" s="1">
        <f>_xlfn.XLOOKUP(D190,Products!$B$2:$B$21,Products!$C$2:$C$21,,0)</f>
        <v>26587</v>
      </c>
      <c r="F190" s="4">
        <f t="shared" si="2"/>
        <v>132935</v>
      </c>
    </row>
    <row r="191" spans="1:6" x14ac:dyDescent="0.3">
      <c r="A191" s="1">
        <v>5190</v>
      </c>
      <c r="B191" s="1">
        <v>11</v>
      </c>
      <c r="C191" s="4">
        <v>1</v>
      </c>
      <c r="D191" s="1" t="str">
        <f>_xlfn.XLOOKUP(B191,Products!$A$2:$A$21,Products!$B$2:$B$21,,0)</f>
        <v>Fan</v>
      </c>
      <c r="E191" s="1">
        <f>_xlfn.XLOOKUP(D191,Products!$B$2:$B$21,Products!$C$2:$C$21,,0)</f>
        <v>45046</v>
      </c>
      <c r="F191" s="4">
        <f t="shared" si="2"/>
        <v>45046</v>
      </c>
    </row>
    <row r="192" spans="1:6" x14ac:dyDescent="0.3">
      <c r="A192" s="1">
        <v>5191</v>
      </c>
      <c r="B192" s="1">
        <v>14</v>
      </c>
      <c r="C192" s="4">
        <v>5</v>
      </c>
      <c r="D192" s="1" t="str">
        <f>_xlfn.XLOOKUP(B192,Products!$A$2:$A$21,Products!$B$2:$B$21,,0)</f>
        <v>Book</v>
      </c>
      <c r="E192" s="1">
        <f>_xlfn.XLOOKUP(D192,Products!$B$2:$B$21,Products!$C$2:$C$21,,0)</f>
        <v>23213</v>
      </c>
      <c r="F192" s="4">
        <f t="shared" si="2"/>
        <v>116065</v>
      </c>
    </row>
    <row r="193" spans="1:6" x14ac:dyDescent="0.3">
      <c r="A193" s="1">
        <v>5192</v>
      </c>
      <c r="B193" s="1">
        <v>17</v>
      </c>
      <c r="C193" s="4">
        <v>2</v>
      </c>
      <c r="D193" s="1" t="str">
        <f>_xlfn.XLOOKUP(B193,Products!$A$2:$A$21,Products!$B$2:$B$21,,0)</f>
        <v>TV</v>
      </c>
      <c r="E193" s="1">
        <f>_xlfn.XLOOKUP(D193,Products!$B$2:$B$21,Products!$C$2:$C$21,,0)</f>
        <v>25434</v>
      </c>
      <c r="F193" s="4">
        <f t="shared" si="2"/>
        <v>50868</v>
      </c>
    </row>
    <row r="194" spans="1:6" x14ac:dyDescent="0.3">
      <c r="A194" s="1">
        <v>5193</v>
      </c>
      <c r="B194" s="1">
        <v>19</v>
      </c>
      <c r="C194" s="4">
        <v>1</v>
      </c>
      <c r="D194" s="1" t="str">
        <f>_xlfn.XLOOKUP(B194,Products!$A$2:$A$21,Products!$B$2:$B$21,,0)</f>
        <v>Router</v>
      </c>
      <c r="E194" s="1">
        <f>_xlfn.XLOOKUP(D194,Products!$B$2:$B$21,Products!$C$2:$C$21,,0)</f>
        <v>37165</v>
      </c>
      <c r="F194" s="4">
        <f t="shared" si="2"/>
        <v>37165</v>
      </c>
    </row>
    <row r="195" spans="1:6" x14ac:dyDescent="0.3">
      <c r="A195" s="1">
        <v>5194</v>
      </c>
      <c r="B195" s="1">
        <v>15</v>
      </c>
      <c r="C195" s="4">
        <v>1</v>
      </c>
      <c r="D195" s="1" t="str">
        <f>_xlfn.XLOOKUP(B195,Products!$A$2:$A$21,Products!$B$2:$B$21,,0)</f>
        <v>Bag</v>
      </c>
      <c r="E195" s="1">
        <f>_xlfn.XLOOKUP(D195,Products!$B$2:$B$21,Products!$C$2:$C$21,,0)</f>
        <v>12567</v>
      </c>
      <c r="F195" s="4">
        <f t="shared" ref="F195:F201" si="3">C195*E195</f>
        <v>12567</v>
      </c>
    </row>
    <row r="196" spans="1:6" x14ac:dyDescent="0.3">
      <c r="A196" s="1">
        <v>5195</v>
      </c>
      <c r="B196" s="1">
        <v>13</v>
      </c>
      <c r="C196" s="4">
        <v>2</v>
      </c>
      <c r="D196" s="1" t="str">
        <f>_xlfn.XLOOKUP(B196,Products!$A$2:$A$21,Products!$B$2:$B$21,,0)</f>
        <v>Pen</v>
      </c>
      <c r="E196" s="1">
        <f>_xlfn.XLOOKUP(D196,Products!$B$2:$B$21,Products!$C$2:$C$21,,0)</f>
        <v>3900</v>
      </c>
      <c r="F196" s="4">
        <f t="shared" si="3"/>
        <v>7800</v>
      </c>
    </row>
    <row r="197" spans="1:6" x14ac:dyDescent="0.3">
      <c r="A197" s="1">
        <v>5196</v>
      </c>
      <c r="B197" s="1">
        <v>5</v>
      </c>
      <c r="C197" s="4">
        <v>4</v>
      </c>
      <c r="D197" s="1" t="str">
        <f>_xlfn.XLOOKUP(B197,Products!$A$2:$A$21,Products!$B$2:$B$21,,0)</f>
        <v>Tablet</v>
      </c>
      <c r="E197" s="1">
        <f>_xlfn.XLOOKUP(D197,Products!$B$2:$B$21,Products!$C$2:$C$21,,0)</f>
        <v>13509</v>
      </c>
      <c r="F197" s="4">
        <f t="shared" si="3"/>
        <v>54036</v>
      </c>
    </row>
    <row r="198" spans="1:6" x14ac:dyDescent="0.3">
      <c r="A198" s="1">
        <v>5197</v>
      </c>
      <c r="B198" s="1">
        <v>1</v>
      </c>
      <c r="C198" s="4">
        <v>2</v>
      </c>
      <c r="D198" s="1" t="str">
        <f>_xlfn.XLOOKUP(B198,Products!$A$2:$A$21,Products!$B$2:$B$21,,0)</f>
        <v>Laptop</v>
      </c>
      <c r="E198" s="1">
        <f>_xlfn.XLOOKUP(D198,Products!$B$2:$B$21,Products!$C$2:$C$21,,0)</f>
        <v>34130</v>
      </c>
      <c r="F198" s="4">
        <f t="shared" si="3"/>
        <v>68260</v>
      </c>
    </row>
    <row r="199" spans="1:6" x14ac:dyDescent="0.3">
      <c r="A199" s="1">
        <v>5198</v>
      </c>
      <c r="B199" s="1">
        <v>15</v>
      </c>
      <c r="C199" s="4">
        <v>3</v>
      </c>
      <c r="D199" s="1" t="str">
        <f>_xlfn.XLOOKUP(B199,Products!$A$2:$A$21,Products!$B$2:$B$21,,0)</f>
        <v>Bag</v>
      </c>
      <c r="E199" s="1">
        <f>_xlfn.XLOOKUP(D199,Products!$B$2:$B$21,Products!$C$2:$C$21,,0)</f>
        <v>12567</v>
      </c>
      <c r="F199" s="4">
        <f t="shared" si="3"/>
        <v>37701</v>
      </c>
    </row>
    <row r="200" spans="1:6" x14ac:dyDescent="0.3">
      <c r="A200" s="1">
        <v>5199</v>
      </c>
      <c r="B200" s="1">
        <v>18</v>
      </c>
      <c r="C200" s="4">
        <v>1</v>
      </c>
      <c r="D200" s="1" t="str">
        <f>_xlfn.XLOOKUP(B200,Products!$A$2:$A$21,Products!$B$2:$B$21,,0)</f>
        <v>Speaker</v>
      </c>
      <c r="E200" s="1">
        <f>_xlfn.XLOOKUP(D200,Products!$B$2:$B$21,Products!$C$2:$C$21,,0)</f>
        <v>28829</v>
      </c>
      <c r="F200" s="4">
        <f t="shared" si="3"/>
        <v>28829</v>
      </c>
    </row>
    <row r="201" spans="1:6" x14ac:dyDescent="0.3">
      <c r="A201" s="1">
        <v>5200</v>
      </c>
      <c r="B201" s="1">
        <v>12</v>
      </c>
      <c r="C201" s="4">
        <v>4</v>
      </c>
      <c r="D201" s="1" t="str">
        <f>_xlfn.XLOOKUP(B201,Products!$A$2:$A$21,Products!$B$2:$B$21,,0)</f>
        <v>AC</v>
      </c>
      <c r="E201" s="1">
        <f>_xlfn.XLOOKUP(D201,Products!$B$2:$B$21,Products!$C$2:$C$21,,0)</f>
        <v>32456</v>
      </c>
      <c r="F201" s="4">
        <f t="shared" si="3"/>
        <v>129824</v>
      </c>
    </row>
  </sheetData>
  <mergeCells count="1">
    <mergeCell ref="O9:P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4534-5605-46DE-8276-F792E8A0FC3A}">
  <dimension ref="A1:L201"/>
  <sheetViews>
    <sheetView workbookViewId="0">
      <selection activeCell="B9" sqref="A1:F201"/>
    </sheetView>
  </sheetViews>
  <sheetFormatPr defaultRowHeight="14.4" x14ac:dyDescent="0.3"/>
  <cols>
    <col min="1" max="1" width="8.5546875" bestFit="1" customWidth="1"/>
    <col min="2" max="2" width="10.44140625" bestFit="1" customWidth="1"/>
    <col min="3" max="3" width="8.33203125" bestFit="1" customWidth="1"/>
    <col min="4" max="4" width="13.5546875" bestFit="1" customWidth="1"/>
    <col min="5" max="5" width="6" bestFit="1" customWidth="1"/>
    <col min="6" max="6" width="10.33203125" bestFit="1" customWidth="1"/>
    <col min="11" max="11" width="18.44140625" bestFit="1" customWidth="1"/>
    <col min="12" max="12" width="16.44140625" bestFit="1" customWidth="1"/>
  </cols>
  <sheetData>
    <row r="1" spans="1:12" x14ac:dyDescent="0.3">
      <c r="A1" s="2" t="s">
        <v>0</v>
      </c>
      <c r="B1" s="2" t="s">
        <v>1</v>
      </c>
      <c r="C1" s="3" t="s">
        <v>2</v>
      </c>
      <c r="D1" s="5" t="s">
        <v>25</v>
      </c>
      <c r="E1" s="5" t="s">
        <v>4</v>
      </c>
      <c r="F1" s="6" t="s">
        <v>26</v>
      </c>
    </row>
    <row r="2" spans="1:12" x14ac:dyDescent="0.3">
      <c r="A2" s="1">
        <v>5001</v>
      </c>
      <c r="B2" s="1">
        <v>3</v>
      </c>
      <c r="C2" s="4">
        <v>2</v>
      </c>
      <c r="D2" s="1" t="str">
        <f>_xlfn.XLOOKUP(B2,Products!$A$2:$A$21,Products!$B$2:$B$21,,0)</f>
        <v>Keyboard</v>
      </c>
      <c r="E2" s="1">
        <f>_xlfn.XLOOKUP(D2,Products!$B$2:$B$21,Products!$C$2:$C$21,,0)</f>
        <v>26587</v>
      </c>
      <c r="F2" s="4">
        <f>C2*E2</f>
        <v>53174</v>
      </c>
    </row>
    <row r="3" spans="1:12" x14ac:dyDescent="0.3">
      <c r="A3" s="1">
        <v>5002</v>
      </c>
      <c r="B3" s="1">
        <v>11</v>
      </c>
      <c r="C3" s="4">
        <v>1</v>
      </c>
      <c r="D3" s="1" t="str">
        <f>_xlfn.XLOOKUP(B3,Products!$A$2:$A$21,Products!$B$2:$B$21,,0)</f>
        <v>Fan</v>
      </c>
      <c r="E3" s="1">
        <f>_xlfn.XLOOKUP(D3,Products!$B$2:$B$21,Products!$C$2:$C$21,,0)</f>
        <v>45046</v>
      </c>
      <c r="F3" s="4">
        <f t="shared" ref="F3:F66" si="0">C3*E3</f>
        <v>45046</v>
      </c>
    </row>
    <row r="4" spans="1:12" x14ac:dyDescent="0.3">
      <c r="A4" s="1">
        <v>5003</v>
      </c>
      <c r="B4" s="1">
        <v>2</v>
      </c>
      <c r="C4" s="4">
        <v>5</v>
      </c>
      <c r="D4" s="1" t="str">
        <f>_xlfn.XLOOKUP(B4,Products!$A$2:$A$21,Products!$B$2:$B$21,,0)</f>
        <v>Mouse</v>
      </c>
      <c r="E4" s="1">
        <f>_xlfn.XLOOKUP(D4,Products!$B$2:$B$21,Products!$C$2:$C$21,,0)</f>
        <v>40685</v>
      </c>
      <c r="F4" s="4">
        <f t="shared" si="0"/>
        <v>203425</v>
      </c>
    </row>
    <row r="5" spans="1:12" x14ac:dyDescent="0.3">
      <c r="A5" s="1">
        <v>5004</v>
      </c>
      <c r="B5" s="1">
        <v>4</v>
      </c>
      <c r="C5" s="4">
        <v>5</v>
      </c>
      <c r="D5" s="1" t="str">
        <f>_xlfn.XLOOKUP(B5,Products!$A$2:$A$21,Products!$B$2:$B$21,,0)</f>
        <v>Monitor</v>
      </c>
      <c r="E5" s="1">
        <f>_xlfn.XLOOKUP(D5,Products!$B$2:$B$21,Products!$C$2:$C$21,,0)</f>
        <v>30181</v>
      </c>
      <c r="F5" s="4">
        <f t="shared" si="0"/>
        <v>150905</v>
      </c>
    </row>
    <row r="6" spans="1:12" x14ac:dyDescent="0.3">
      <c r="A6" s="1">
        <v>5005</v>
      </c>
      <c r="B6" s="1">
        <v>14</v>
      </c>
      <c r="C6" s="4">
        <v>5</v>
      </c>
      <c r="D6" s="1" t="str">
        <f>_xlfn.XLOOKUP(B6,Products!$A$2:$A$21,Products!$B$2:$B$21,,0)</f>
        <v>Book</v>
      </c>
      <c r="E6" s="1">
        <f>_xlfn.XLOOKUP(D6,Products!$B$2:$B$21,Products!$C$2:$C$21,,0)</f>
        <v>23213</v>
      </c>
      <c r="F6" s="4">
        <f t="shared" si="0"/>
        <v>116065</v>
      </c>
    </row>
    <row r="7" spans="1:12" x14ac:dyDescent="0.3">
      <c r="A7" s="1">
        <v>5006</v>
      </c>
      <c r="B7" s="1">
        <v>5</v>
      </c>
      <c r="C7" s="4">
        <v>5</v>
      </c>
      <c r="D7" s="1" t="str">
        <f>_xlfn.XLOOKUP(B7,Products!$A$2:$A$21,Products!$B$2:$B$21,,0)</f>
        <v>Tablet</v>
      </c>
      <c r="E7" s="1">
        <f>_xlfn.XLOOKUP(D7,Products!$B$2:$B$21,Products!$C$2:$C$21,,0)</f>
        <v>13509</v>
      </c>
      <c r="F7" s="4">
        <f t="shared" si="0"/>
        <v>67545</v>
      </c>
    </row>
    <row r="8" spans="1:12" x14ac:dyDescent="0.3">
      <c r="A8" s="1">
        <v>5007</v>
      </c>
      <c r="B8" s="1">
        <v>3</v>
      </c>
      <c r="C8" s="4">
        <v>3</v>
      </c>
      <c r="D8" s="1" t="str">
        <f>_xlfn.XLOOKUP(B8,Products!$A$2:$A$21,Products!$B$2:$B$21,,0)</f>
        <v>Keyboard</v>
      </c>
      <c r="E8" s="1">
        <f>_xlfn.XLOOKUP(D8,Products!$B$2:$B$21,Products!$C$2:$C$21,,0)</f>
        <v>26587</v>
      </c>
      <c r="F8" s="4">
        <f t="shared" si="0"/>
        <v>79761</v>
      </c>
    </row>
    <row r="9" spans="1:12" x14ac:dyDescent="0.3">
      <c r="A9" s="1">
        <v>5008</v>
      </c>
      <c r="B9" s="1">
        <v>8</v>
      </c>
      <c r="C9" s="4">
        <v>1</v>
      </c>
      <c r="D9" s="1" t="str">
        <f>_xlfn.XLOOKUP(B9,Products!$A$2:$A$21,Products!$B$2:$B$21,,0)</f>
        <v>Printer</v>
      </c>
      <c r="E9" s="1">
        <f>_xlfn.XLOOKUP(D9,Products!$B$2:$B$21,Products!$C$2:$C$21,,0)</f>
        <v>31589</v>
      </c>
      <c r="F9" s="4">
        <f t="shared" si="0"/>
        <v>31589</v>
      </c>
    </row>
    <row r="10" spans="1:12" x14ac:dyDescent="0.3">
      <c r="A10" s="1">
        <v>5009</v>
      </c>
      <c r="B10" s="1">
        <v>6</v>
      </c>
      <c r="C10" s="4">
        <v>5</v>
      </c>
      <c r="D10" s="1" t="str">
        <f>_xlfn.XLOOKUP(B10,Products!$A$2:$A$21,Products!$B$2:$B$21,,0)</f>
        <v>Phone</v>
      </c>
      <c r="E10" s="1">
        <f>_xlfn.XLOOKUP(D10,Products!$B$2:$B$21,Products!$C$2:$C$21,,0)</f>
        <v>10250</v>
      </c>
      <c r="F10" s="4">
        <f t="shared" si="0"/>
        <v>51250</v>
      </c>
      <c r="K10" s="13" t="s">
        <v>28</v>
      </c>
      <c r="L10" s="13" t="s">
        <v>4</v>
      </c>
    </row>
    <row r="11" spans="1:12" x14ac:dyDescent="0.3">
      <c r="A11" s="1">
        <v>5010</v>
      </c>
      <c r="B11" s="1">
        <v>16</v>
      </c>
      <c r="C11" s="4">
        <v>4</v>
      </c>
      <c r="D11" s="1" t="str">
        <f>_xlfn.XLOOKUP(B11,Products!$A$2:$A$21,Products!$B$2:$B$21,,0)</f>
        <v>Watch</v>
      </c>
      <c r="E11" s="1">
        <f>_xlfn.XLOOKUP(D11,Products!$B$2:$B$21,Products!$C$2:$C$21,,0)</f>
        <v>21553</v>
      </c>
      <c r="F11" s="4">
        <f t="shared" si="0"/>
        <v>86212</v>
      </c>
      <c r="K11" s="1" t="s">
        <v>29</v>
      </c>
      <c r="L11" s="12" t="str">
        <f>_xlfn.XLOOKUP(K11,D2:D201,E1:E200,"Enter valid product",0)</f>
        <v>Enter valid product</v>
      </c>
    </row>
    <row r="12" spans="1:12" x14ac:dyDescent="0.3">
      <c r="A12" s="1">
        <v>5011</v>
      </c>
      <c r="B12" s="1">
        <v>15</v>
      </c>
      <c r="C12" s="4">
        <v>1</v>
      </c>
      <c r="D12" s="1" t="str">
        <f>_xlfn.XLOOKUP(B12,Products!$A$2:$A$21,Products!$B$2:$B$21,,0)</f>
        <v>Bag</v>
      </c>
      <c r="E12" s="1">
        <f>_xlfn.XLOOKUP(D12,Products!$B$2:$B$21,Products!$C$2:$C$21,,0)</f>
        <v>12567</v>
      </c>
      <c r="F12" s="4">
        <f t="shared" si="0"/>
        <v>12567</v>
      </c>
    </row>
    <row r="13" spans="1:12" x14ac:dyDescent="0.3">
      <c r="A13" s="1">
        <v>5012</v>
      </c>
      <c r="B13" s="1">
        <v>12</v>
      </c>
      <c r="C13" s="4">
        <v>4</v>
      </c>
      <c r="D13" s="1" t="str">
        <f>_xlfn.XLOOKUP(B13,Products!$A$2:$A$21,Products!$B$2:$B$21,,0)</f>
        <v>AC</v>
      </c>
      <c r="E13" s="1">
        <f>_xlfn.XLOOKUP(D13,Products!$B$2:$B$21,Products!$C$2:$C$21,,0)</f>
        <v>32456</v>
      </c>
      <c r="F13" s="4">
        <f t="shared" si="0"/>
        <v>129824</v>
      </c>
    </row>
    <row r="14" spans="1:12" x14ac:dyDescent="0.3">
      <c r="A14" s="1">
        <v>5013</v>
      </c>
      <c r="B14" s="1">
        <v>19</v>
      </c>
      <c r="C14" s="4">
        <v>5</v>
      </c>
      <c r="D14" s="1" t="str">
        <f>_xlfn.XLOOKUP(B14,Products!$A$2:$A$21,Products!$B$2:$B$21,,0)</f>
        <v>Router</v>
      </c>
      <c r="E14" s="1">
        <f>_xlfn.XLOOKUP(D14,Products!$B$2:$B$21,Products!$C$2:$C$21,,0)</f>
        <v>37165</v>
      </c>
      <c r="F14" s="4">
        <f t="shared" si="0"/>
        <v>185825</v>
      </c>
    </row>
    <row r="15" spans="1:12" x14ac:dyDescent="0.3">
      <c r="A15" s="1">
        <v>5014</v>
      </c>
      <c r="B15" s="1">
        <v>4</v>
      </c>
      <c r="C15" s="4">
        <v>5</v>
      </c>
      <c r="D15" s="1" t="str">
        <f>_xlfn.XLOOKUP(B15,Products!$A$2:$A$21,Products!$B$2:$B$21,,0)</f>
        <v>Monitor</v>
      </c>
      <c r="E15" s="1">
        <f>_xlfn.XLOOKUP(D15,Products!$B$2:$B$21,Products!$C$2:$C$21,,0)</f>
        <v>30181</v>
      </c>
      <c r="F15" s="4">
        <f t="shared" si="0"/>
        <v>150905</v>
      </c>
    </row>
    <row r="16" spans="1:12" x14ac:dyDescent="0.3">
      <c r="A16" s="1">
        <v>5015</v>
      </c>
      <c r="B16" s="1">
        <v>15</v>
      </c>
      <c r="C16" s="4">
        <v>2</v>
      </c>
      <c r="D16" s="1" t="str">
        <f>_xlfn.XLOOKUP(B16,Products!$A$2:$A$21,Products!$B$2:$B$21,,0)</f>
        <v>Bag</v>
      </c>
      <c r="E16" s="1">
        <f>_xlfn.XLOOKUP(D16,Products!$B$2:$B$21,Products!$C$2:$C$21,,0)</f>
        <v>12567</v>
      </c>
      <c r="F16" s="4">
        <f t="shared" si="0"/>
        <v>25134</v>
      </c>
    </row>
    <row r="17" spans="1:6" x14ac:dyDescent="0.3">
      <c r="A17" s="1">
        <v>5016</v>
      </c>
      <c r="B17" s="1">
        <v>6</v>
      </c>
      <c r="C17" s="4">
        <v>5</v>
      </c>
      <c r="D17" s="1" t="str">
        <f>_xlfn.XLOOKUP(B17,Products!$A$2:$A$21,Products!$B$2:$B$21,,0)</f>
        <v>Phone</v>
      </c>
      <c r="E17" s="1">
        <f>_xlfn.XLOOKUP(D17,Products!$B$2:$B$21,Products!$C$2:$C$21,,0)</f>
        <v>10250</v>
      </c>
      <c r="F17" s="4">
        <f t="shared" si="0"/>
        <v>51250</v>
      </c>
    </row>
    <row r="18" spans="1:6" x14ac:dyDescent="0.3">
      <c r="A18" s="1">
        <v>5017</v>
      </c>
      <c r="B18" s="1">
        <v>4</v>
      </c>
      <c r="C18" s="4">
        <v>4</v>
      </c>
      <c r="D18" s="1" t="str">
        <f>_xlfn.XLOOKUP(B18,Products!$A$2:$A$21,Products!$B$2:$B$21,,0)</f>
        <v>Monitor</v>
      </c>
      <c r="E18" s="1">
        <f>_xlfn.XLOOKUP(D18,Products!$B$2:$B$21,Products!$C$2:$C$21,,0)</f>
        <v>30181</v>
      </c>
      <c r="F18" s="4">
        <f t="shared" si="0"/>
        <v>120724</v>
      </c>
    </row>
    <row r="19" spans="1:6" x14ac:dyDescent="0.3">
      <c r="A19" s="1">
        <v>5018</v>
      </c>
      <c r="B19" s="1">
        <v>5</v>
      </c>
      <c r="C19" s="4">
        <v>4</v>
      </c>
      <c r="D19" s="1" t="str">
        <f>_xlfn.XLOOKUP(B19,Products!$A$2:$A$21,Products!$B$2:$B$21,,0)</f>
        <v>Tablet</v>
      </c>
      <c r="E19" s="1">
        <f>_xlfn.XLOOKUP(D19,Products!$B$2:$B$21,Products!$C$2:$C$21,,0)</f>
        <v>13509</v>
      </c>
      <c r="F19" s="4">
        <f t="shared" si="0"/>
        <v>54036</v>
      </c>
    </row>
    <row r="20" spans="1:6" x14ac:dyDescent="0.3">
      <c r="A20" s="1">
        <v>5019</v>
      </c>
      <c r="B20" s="1">
        <v>17</v>
      </c>
      <c r="C20" s="4">
        <v>3</v>
      </c>
      <c r="D20" s="1" t="str">
        <f>_xlfn.XLOOKUP(B20,Products!$A$2:$A$21,Products!$B$2:$B$21,,0)</f>
        <v>TV</v>
      </c>
      <c r="E20" s="1">
        <f>_xlfn.XLOOKUP(D20,Products!$B$2:$B$21,Products!$C$2:$C$21,,0)</f>
        <v>25434</v>
      </c>
      <c r="F20" s="4">
        <f t="shared" si="0"/>
        <v>76302</v>
      </c>
    </row>
    <row r="21" spans="1:6" x14ac:dyDescent="0.3">
      <c r="A21" s="1">
        <v>5020</v>
      </c>
      <c r="B21" s="1">
        <v>10</v>
      </c>
      <c r="C21" s="4">
        <v>1</v>
      </c>
      <c r="D21" s="1" t="str">
        <f>_xlfn.XLOOKUP(B21,Products!$A$2:$A$21,Products!$B$2:$B$21,,0)</f>
        <v>Chair</v>
      </c>
      <c r="E21" s="1">
        <f>_xlfn.XLOOKUP(D21,Products!$B$2:$B$21,Products!$C$2:$C$21,,0)</f>
        <v>18164</v>
      </c>
      <c r="F21" s="4">
        <f t="shared" si="0"/>
        <v>18164</v>
      </c>
    </row>
    <row r="22" spans="1:6" x14ac:dyDescent="0.3">
      <c r="A22" s="1">
        <v>5021</v>
      </c>
      <c r="B22" s="1">
        <v>7</v>
      </c>
      <c r="C22" s="4">
        <v>2</v>
      </c>
      <c r="D22" s="1" t="str">
        <f>_xlfn.XLOOKUP(B22,Products!$A$2:$A$21,Products!$B$2:$B$21,,0)</f>
        <v>Camera</v>
      </c>
      <c r="E22" s="1">
        <f>_xlfn.XLOOKUP(D22,Products!$B$2:$B$21,Products!$C$2:$C$21,,0)</f>
        <v>34857</v>
      </c>
      <c r="F22" s="4">
        <f t="shared" si="0"/>
        <v>69714</v>
      </c>
    </row>
    <row r="23" spans="1:6" x14ac:dyDescent="0.3">
      <c r="A23" s="1">
        <v>5022</v>
      </c>
      <c r="B23" s="1">
        <v>7</v>
      </c>
      <c r="C23" s="4">
        <v>4</v>
      </c>
      <c r="D23" s="1" t="str">
        <f>_xlfn.XLOOKUP(B23,Products!$A$2:$A$21,Products!$B$2:$B$21,,0)</f>
        <v>Camera</v>
      </c>
      <c r="E23" s="1">
        <f>_xlfn.XLOOKUP(D23,Products!$B$2:$B$21,Products!$C$2:$C$21,,0)</f>
        <v>34857</v>
      </c>
      <c r="F23" s="4">
        <f t="shared" si="0"/>
        <v>139428</v>
      </c>
    </row>
    <row r="24" spans="1:6" x14ac:dyDescent="0.3">
      <c r="A24" s="1">
        <v>5023</v>
      </c>
      <c r="B24" s="1">
        <v>20</v>
      </c>
      <c r="C24" s="4">
        <v>4</v>
      </c>
      <c r="D24" s="1" t="str">
        <f>_xlfn.XLOOKUP(B24,Products!$A$2:$A$21,Products!$B$2:$B$21,,0)</f>
        <v>SSD</v>
      </c>
      <c r="E24" s="1">
        <f>_xlfn.XLOOKUP(D24,Products!$B$2:$B$21,Products!$C$2:$C$21,,0)</f>
        <v>10724</v>
      </c>
      <c r="F24" s="4">
        <f t="shared" si="0"/>
        <v>42896</v>
      </c>
    </row>
    <row r="25" spans="1:6" x14ac:dyDescent="0.3">
      <c r="A25" s="1">
        <v>5024</v>
      </c>
      <c r="B25" s="1">
        <v>12</v>
      </c>
      <c r="C25" s="4">
        <v>4</v>
      </c>
      <c r="D25" s="1" t="str">
        <f>_xlfn.XLOOKUP(B25,Products!$A$2:$A$21,Products!$B$2:$B$21,,0)</f>
        <v>AC</v>
      </c>
      <c r="E25" s="1">
        <f>_xlfn.XLOOKUP(D25,Products!$B$2:$B$21,Products!$C$2:$C$21,,0)</f>
        <v>32456</v>
      </c>
      <c r="F25" s="4">
        <f t="shared" si="0"/>
        <v>129824</v>
      </c>
    </row>
    <row r="26" spans="1:6" x14ac:dyDescent="0.3">
      <c r="A26" s="1">
        <v>5025</v>
      </c>
      <c r="B26" s="1">
        <v>10</v>
      </c>
      <c r="C26" s="4">
        <v>5</v>
      </c>
      <c r="D26" s="1" t="str">
        <f>_xlfn.XLOOKUP(B26,Products!$A$2:$A$21,Products!$B$2:$B$21,,0)</f>
        <v>Chair</v>
      </c>
      <c r="E26" s="1">
        <f>_xlfn.XLOOKUP(D26,Products!$B$2:$B$21,Products!$C$2:$C$21,,0)</f>
        <v>18164</v>
      </c>
      <c r="F26" s="4">
        <f t="shared" si="0"/>
        <v>90820</v>
      </c>
    </row>
    <row r="27" spans="1:6" x14ac:dyDescent="0.3">
      <c r="A27" s="1">
        <v>5026</v>
      </c>
      <c r="B27" s="1">
        <v>3</v>
      </c>
      <c r="C27" s="4">
        <v>4</v>
      </c>
      <c r="D27" s="1" t="str">
        <f>_xlfn.XLOOKUP(B27,Products!$A$2:$A$21,Products!$B$2:$B$21,,0)</f>
        <v>Keyboard</v>
      </c>
      <c r="E27" s="1">
        <f>_xlfn.XLOOKUP(D27,Products!$B$2:$B$21,Products!$C$2:$C$21,,0)</f>
        <v>26587</v>
      </c>
      <c r="F27" s="4">
        <f t="shared" si="0"/>
        <v>106348</v>
      </c>
    </row>
    <row r="28" spans="1:6" x14ac:dyDescent="0.3">
      <c r="A28" s="1">
        <v>5027</v>
      </c>
      <c r="B28" s="1">
        <v>2</v>
      </c>
      <c r="C28" s="4">
        <v>3</v>
      </c>
      <c r="D28" s="1" t="str">
        <f>_xlfn.XLOOKUP(B28,Products!$A$2:$A$21,Products!$B$2:$B$21,,0)</f>
        <v>Mouse</v>
      </c>
      <c r="E28" s="1">
        <f>_xlfn.XLOOKUP(D28,Products!$B$2:$B$21,Products!$C$2:$C$21,,0)</f>
        <v>40685</v>
      </c>
      <c r="F28" s="4">
        <f t="shared" si="0"/>
        <v>122055</v>
      </c>
    </row>
    <row r="29" spans="1:6" x14ac:dyDescent="0.3">
      <c r="A29" s="1">
        <v>5028</v>
      </c>
      <c r="B29" s="1">
        <v>19</v>
      </c>
      <c r="C29" s="4">
        <v>5</v>
      </c>
      <c r="D29" s="1" t="str">
        <f>_xlfn.XLOOKUP(B29,Products!$A$2:$A$21,Products!$B$2:$B$21,,0)</f>
        <v>Router</v>
      </c>
      <c r="E29" s="1">
        <f>_xlfn.XLOOKUP(D29,Products!$B$2:$B$21,Products!$C$2:$C$21,,0)</f>
        <v>37165</v>
      </c>
      <c r="F29" s="4">
        <f t="shared" si="0"/>
        <v>185825</v>
      </c>
    </row>
    <row r="30" spans="1:6" x14ac:dyDescent="0.3">
      <c r="A30" s="1">
        <v>5029</v>
      </c>
      <c r="B30" s="1">
        <v>4</v>
      </c>
      <c r="C30" s="4">
        <v>1</v>
      </c>
      <c r="D30" s="1" t="str">
        <f>_xlfn.XLOOKUP(B30,Products!$A$2:$A$21,Products!$B$2:$B$21,,0)</f>
        <v>Monitor</v>
      </c>
      <c r="E30" s="1">
        <f>_xlfn.XLOOKUP(D30,Products!$B$2:$B$21,Products!$C$2:$C$21,,0)</f>
        <v>30181</v>
      </c>
      <c r="F30" s="4">
        <f t="shared" si="0"/>
        <v>30181</v>
      </c>
    </row>
    <row r="31" spans="1:6" x14ac:dyDescent="0.3">
      <c r="A31" s="1">
        <v>5030</v>
      </c>
      <c r="B31" s="1">
        <v>20</v>
      </c>
      <c r="C31" s="4">
        <v>5</v>
      </c>
      <c r="D31" s="1" t="str">
        <f>_xlfn.XLOOKUP(B31,Products!$A$2:$A$21,Products!$B$2:$B$21,,0)</f>
        <v>SSD</v>
      </c>
      <c r="E31" s="1">
        <f>_xlfn.XLOOKUP(D31,Products!$B$2:$B$21,Products!$C$2:$C$21,,0)</f>
        <v>10724</v>
      </c>
      <c r="F31" s="4">
        <f t="shared" si="0"/>
        <v>53620</v>
      </c>
    </row>
    <row r="32" spans="1:6" x14ac:dyDescent="0.3">
      <c r="A32" s="1">
        <v>5031</v>
      </c>
      <c r="B32" s="1">
        <v>9</v>
      </c>
      <c r="C32" s="4">
        <v>2</v>
      </c>
      <c r="D32" s="1" t="str">
        <f>_xlfn.XLOOKUP(B32,Products!$A$2:$A$21,Products!$B$2:$B$21,,0)</f>
        <v>Desk</v>
      </c>
      <c r="E32" s="1">
        <f>_xlfn.XLOOKUP(D32,Products!$B$2:$B$21,Products!$C$2:$C$21,,0)</f>
        <v>15870</v>
      </c>
      <c r="F32" s="4">
        <f t="shared" si="0"/>
        <v>31740</v>
      </c>
    </row>
    <row r="33" spans="1:6" x14ac:dyDescent="0.3">
      <c r="A33" s="1">
        <v>5032</v>
      </c>
      <c r="B33" s="1">
        <v>7</v>
      </c>
      <c r="C33" s="4">
        <v>4</v>
      </c>
      <c r="D33" s="1" t="str">
        <f>_xlfn.XLOOKUP(B33,Products!$A$2:$A$21,Products!$B$2:$B$21,,0)</f>
        <v>Camera</v>
      </c>
      <c r="E33" s="1">
        <f>_xlfn.XLOOKUP(D33,Products!$B$2:$B$21,Products!$C$2:$C$21,,0)</f>
        <v>34857</v>
      </c>
      <c r="F33" s="4">
        <f t="shared" si="0"/>
        <v>139428</v>
      </c>
    </row>
    <row r="34" spans="1:6" x14ac:dyDescent="0.3">
      <c r="A34" s="1">
        <v>5033</v>
      </c>
      <c r="B34" s="1">
        <v>11</v>
      </c>
      <c r="C34" s="4">
        <v>2</v>
      </c>
      <c r="D34" s="1" t="str">
        <f>_xlfn.XLOOKUP(B34,Products!$A$2:$A$21,Products!$B$2:$B$21,,0)</f>
        <v>Fan</v>
      </c>
      <c r="E34" s="1">
        <f>_xlfn.XLOOKUP(D34,Products!$B$2:$B$21,Products!$C$2:$C$21,,0)</f>
        <v>45046</v>
      </c>
      <c r="F34" s="4">
        <f t="shared" si="0"/>
        <v>90092</v>
      </c>
    </row>
    <row r="35" spans="1:6" x14ac:dyDescent="0.3">
      <c r="A35" s="1">
        <v>5034</v>
      </c>
      <c r="B35" s="1">
        <v>4</v>
      </c>
      <c r="C35" s="4">
        <v>3</v>
      </c>
      <c r="D35" s="1" t="str">
        <f>_xlfn.XLOOKUP(B35,Products!$A$2:$A$21,Products!$B$2:$B$21,,0)</f>
        <v>Monitor</v>
      </c>
      <c r="E35" s="1">
        <f>_xlfn.XLOOKUP(D35,Products!$B$2:$B$21,Products!$C$2:$C$21,,0)</f>
        <v>30181</v>
      </c>
      <c r="F35" s="4">
        <f t="shared" si="0"/>
        <v>90543</v>
      </c>
    </row>
    <row r="36" spans="1:6" x14ac:dyDescent="0.3">
      <c r="A36" s="1">
        <v>5035</v>
      </c>
      <c r="B36" s="1">
        <v>2</v>
      </c>
      <c r="C36" s="4">
        <v>4</v>
      </c>
      <c r="D36" s="1" t="str">
        <f>_xlfn.XLOOKUP(B36,Products!$A$2:$A$21,Products!$B$2:$B$21,,0)</f>
        <v>Mouse</v>
      </c>
      <c r="E36" s="1">
        <f>_xlfn.XLOOKUP(D36,Products!$B$2:$B$21,Products!$C$2:$C$21,,0)</f>
        <v>40685</v>
      </c>
      <c r="F36" s="4">
        <f t="shared" si="0"/>
        <v>162740</v>
      </c>
    </row>
    <row r="37" spans="1:6" x14ac:dyDescent="0.3">
      <c r="A37" s="1">
        <v>5036</v>
      </c>
      <c r="B37" s="1">
        <v>8</v>
      </c>
      <c r="C37" s="4">
        <v>4</v>
      </c>
      <c r="D37" s="1" t="str">
        <f>_xlfn.XLOOKUP(B37,Products!$A$2:$A$21,Products!$B$2:$B$21,,0)</f>
        <v>Printer</v>
      </c>
      <c r="E37" s="1">
        <f>_xlfn.XLOOKUP(D37,Products!$B$2:$B$21,Products!$C$2:$C$21,,0)</f>
        <v>31589</v>
      </c>
      <c r="F37" s="4">
        <f t="shared" si="0"/>
        <v>126356</v>
      </c>
    </row>
    <row r="38" spans="1:6" x14ac:dyDescent="0.3">
      <c r="A38" s="1">
        <v>5037</v>
      </c>
      <c r="B38" s="1">
        <v>4</v>
      </c>
      <c r="C38" s="4">
        <v>2</v>
      </c>
      <c r="D38" s="1" t="str">
        <f>_xlfn.XLOOKUP(B38,Products!$A$2:$A$21,Products!$B$2:$B$21,,0)</f>
        <v>Monitor</v>
      </c>
      <c r="E38" s="1">
        <f>_xlfn.XLOOKUP(D38,Products!$B$2:$B$21,Products!$C$2:$C$21,,0)</f>
        <v>30181</v>
      </c>
      <c r="F38" s="4">
        <f t="shared" si="0"/>
        <v>60362</v>
      </c>
    </row>
    <row r="39" spans="1:6" x14ac:dyDescent="0.3">
      <c r="A39" s="1">
        <v>5038</v>
      </c>
      <c r="B39" s="1">
        <v>18</v>
      </c>
      <c r="C39" s="4">
        <v>2</v>
      </c>
      <c r="D39" s="1" t="str">
        <f>_xlfn.XLOOKUP(B39,Products!$A$2:$A$21,Products!$B$2:$B$21,,0)</f>
        <v>Speaker</v>
      </c>
      <c r="E39" s="1">
        <f>_xlfn.XLOOKUP(D39,Products!$B$2:$B$21,Products!$C$2:$C$21,,0)</f>
        <v>28829</v>
      </c>
      <c r="F39" s="4">
        <f t="shared" si="0"/>
        <v>57658</v>
      </c>
    </row>
    <row r="40" spans="1:6" x14ac:dyDescent="0.3">
      <c r="A40" s="1">
        <v>5039</v>
      </c>
      <c r="B40" s="1">
        <v>5</v>
      </c>
      <c r="C40" s="4">
        <v>4</v>
      </c>
      <c r="D40" s="1" t="str">
        <f>_xlfn.XLOOKUP(B40,Products!$A$2:$A$21,Products!$B$2:$B$21,,0)</f>
        <v>Tablet</v>
      </c>
      <c r="E40" s="1">
        <f>_xlfn.XLOOKUP(D40,Products!$B$2:$B$21,Products!$C$2:$C$21,,0)</f>
        <v>13509</v>
      </c>
      <c r="F40" s="4">
        <f t="shared" si="0"/>
        <v>54036</v>
      </c>
    </row>
    <row r="41" spans="1:6" x14ac:dyDescent="0.3">
      <c r="A41" s="1">
        <v>5040</v>
      </c>
      <c r="B41" s="1">
        <v>8</v>
      </c>
      <c r="C41" s="4">
        <v>1</v>
      </c>
      <c r="D41" s="1" t="str">
        <f>_xlfn.XLOOKUP(B41,Products!$A$2:$A$21,Products!$B$2:$B$21,,0)</f>
        <v>Printer</v>
      </c>
      <c r="E41" s="1">
        <f>_xlfn.XLOOKUP(D41,Products!$B$2:$B$21,Products!$C$2:$C$21,,0)</f>
        <v>31589</v>
      </c>
      <c r="F41" s="4">
        <f t="shared" si="0"/>
        <v>31589</v>
      </c>
    </row>
    <row r="42" spans="1:6" x14ac:dyDescent="0.3">
      <c r="A42" s="1">
        <v>5041</v>
      </c>
      <c r="B42" s="1">
        <v>8</v>
      </c>
      <c r="C42" s="4">
        <v>5</v>
      </c>
      <c r="D42" s="1" t="str">
        <f>_xlfn.XLOOKUP(B42,Products!$A$2:$A$21,Products!$B$2:$B$21,,0)</f>
        <v>Printer</v>
      </c>
      <c r="E42" s="1">
        <f>_xlfn.XLOOKUP(D42,Products!$B$2:$B$21,Products!$C$2:$C$21,,0)</f>
        <v>31589</v>
      </c>
      <c r="F42" s="4">
        <f t="shared" si="0"/>
        <v>157945</v>
      </c>
    </row>
    <row r="43" spans="1:6" x14ac:dyDescent="0.3">
      <c r="A43" s="1">
        <v>5042</v>
      </c>
      <c r="B43" s="1">
        <v>11</v>
      </c>
      <c r="C43" s="4">
        <v>3</v>
      </c>
      <c r="D43" s="1" t="str">
        <f>_xlfn.XLOOKUP(B43,Products!$A$2:$A$21,Products!$B$2:$B$21,,0)</f>
        <v>Fan</v>
      </c>
      <c r="E43" s="1">
        <f>_xlfn.XLOOKUP(D43,Products!$B$2:$B$21,Products!$C$2:$C$21,,0)</f>
        <v>45046</v>
      </c>
      <c r="F43" s="4">
        <f t="shared" si="0"/>
        <v>135138</v>
      </c>
    </row>
    <row r="44" spans="1:6" x14ac:dyDescent="0.3">
      <c r="A44" s="1">
        <v>5043</v>
      </c>
      <c r="B44" s="1">
        <v>12</v>
      </c>
      <c r="C44" s="4">
        <v>5</v>
      </c>
      <c r="D44" s="1" t="str">
        <f>_xlfn.XLOOKUP(B44,Products!$A$2:$A$21,Products!$B$2:$B$21,,0)</f>
        <v>AC</v>
      </c>
      <c r="E44" s="1">
        <f>_xlfn.XLOOKUP(D44,Products!$B$2:$B$21,Products!$C$2:$C$21,,0)</f>
        <v>32456</v>
      </c>
      <c r="F44" s="4">
        <f t="shared" si="0"/>
        <v>162280</v>
      </c>
    </row>
    <row r="45" spans="1:6" x14ac:dyDescent="0.3">
      <c r="A45" s="1">
        <v>5044</v>
      </c>
      <c r="B45" s="1">
        <v>9</v>
      </c>
      <c r="C45" s="4">
        <v>1</v>
      </c>
      <c r="D45" s="1" t="str">
        <f>_xlfn.XLOOKUP(B45,Products!$A$2:$A$21,Products!$B$2:$B$21,,0)</f>
        <v>Desk</v>
      </c>
      <c r="E45" s="1">
        <f>_xlfn.XLOOKUP(D45,Products!$B$2:$B$21,Products!$C$2:$C$21,,0)</f>
        <v>15870</v>
      </c>
      <c r="F45" s="4">
        <f t="shared" si="0"/>
        <v>15870</v>
      </c>
    </row>
    <row r="46" spans="1:6" x14ac:dyDescent="0.3">
      <c r="A46" s="1">
        <v>5045</v>
      </c>
      <c r="B46" s="1">
        <v>2</v>
      </c>
      <c r="C46" s="4">
        <v>2</v>
      </c>
      <c r="D46" s="1" t="str">
        <f>_xlfn.XLOOKUP(B46,Products!$A$2:$A$21,Products!$B$2:$B$21,,0)</f>
        <v>Mouse</v>
      </c>
      <c r="E46" s="1">
        <f>_xlfn.XLOOKUP(D46,Products!$B$2:$B$21,Products!$C$2:$C$21,,0)</f>
        <v>40685</v>
      </c>
      <c r="F46" s="4">
        <f t="shared" si="0"/>
        <v>81370</v>
      </c>
    </row>
    <row r="47" spans="1:6" x14ac:dyDescent="0.3">
      <c r="A47" s="1">
        <v>5046</v>
      </c>
      <c r="B47" s="1">
        <v>19</v>
      </c>
      <c r="C47" s="4">
        <v>5</v>
      </c>
      <c r="D47" s="1" t="str">
        <f>_xlfn.XLOOKUP(B47,Products!$A$2:$A$21,Products!$B$2:$B$21,,0)</f>
        <v>Router</v>
      </c>
      <c r="E47" s="1">
        <f>_xlfn.XLOOKUP(D47,Products!$B$2:$B$21,Products!$C$2:$C$21,,0)</f>
        <v>37165</v>
      </c>
      <c r="F47" s="4">
        <f t="shared" si="0"/>
        <v>185825</v>
      </c>
    </row>
    <row r="48" spans="1:6" x14ac:dyDescent="0.3">
      <c r="A48" s="1">
        <v>5047</v>
      </c>
      <c r="B48" s="1">
        <v>2</v>
      </c>
      <c r="C48" s="4">
        <v>5</v>
      </c>
      <c r="D48" s="1" t="str">
        <f>_xlfn.XLOOKUP(B48,Products!$A$2:$A$21,Products!$B$2:$B$21,,0)</f>
        <v>Mouse</v>
      </c>
      <c r="E48" s="1">
        <f>_xlfn.XLOOKUP(D48,Products!$B$2:$B$21,Products!$C$2:$C$21,,0)</f>
        <v>40685</v>
      </c>
      <c r="F48" s="4">
        <f t="shared" si="0"/>
        <v>203425</v>
      </c>
    </row>
    <row r="49" spans="1:6" x14ac:dyDescent="0.3">
      <c r="A49" s="1">
        <v>5048</v>
      </c>
      <c r="B49" s="1">
        <v>2</v>
      </c>
      <c r="C49" s="4">
        <v>1</v>
      </c>
      <c r="D49" s="1" t="str">
        <f>_xlfn.XLOOKUP(B49,Products!$A$2:$A$21,Products!$B$2:$B$21,,0)</f>
        <v>Mouse</v>
      </c>
      <c r="E49" s="1">
        <f>_xlfn.XLOOKUP(D49,Products!$B$2:$B$21,Products!$C$2:$C$21,,0)</f>
        <v>40685</v>
      </c>
      <c r="F49" s="4">
        <f t="shared" si="0"/>
        <v>40685</v>
      </c>
    </row>
    <row r="50" spans="1:6" x14ac:dyDescent="0.3">
      <c r="A50" s="1">
        <v>5049</v>
      </c>
      <c r="B50" s="1">
        <v>17</v>
      </c>
      <c r="C50" s="4">
        <v>1</v>
      </c>
      <c r="D50" s="1" t="str">
        <f>_xlfn.XLOOKUP(B50,Products!$A$2:$A$21,Products!$B$2:$B$21,,0)</f>
        <v>TV</v>
      </c>
      <c r="E50" s="1">
        <f>_xlfn.XLOOKUP(D50,Products!$B$2:$B$21,Products!$C$2:$C$21,,0)</f>
        <v>25434</v>
      </c>
      <c r="F50" s="4">
        <f t="shared" si="0"/>
        <v>25434</v>
      </c>
    </row>
    <row r="51" spans="1:6" x14ac:dyDescent="0.3">
      <c r="A51" s="1">
        <v>5050</v>
      </c>
      <c r="B51" s="1">
        <v>17</v>
      </c>
      <c r="C51" s="4">
        <v>4</v>
      </c>
      <c r="D51" s="1" t="str">
        <f>_xlfn.XLOOKUP(B51,Products!$A$2:$A$21,Products!$B$2:$B$21,,0)</f>
        <v>TV</v>
      </c>
      <c r="E51" s="1">
        <f>_xlfn.XLOOKUP(D51,Products!$B$2:$B$21,Products!$C$2:$C$21,,0)</f>
        <v>25434</v>
      </c>
      <c r="F51" s="4">
        <f t="shared" si="0"/>
        <v>101736</v>
      </c>
    </row>
    <row r="52" spans="1:6" x14ac:dyDescent="0.3">
      <c r="A52" s="1">
        <v>5051</v>
      </c>
      <c r="B52" s="1">
        <v>11</v>
      </c>
      <c r="C52" s="4">
        <v>3</v>
      </c>
      <c r="D52" s="1" t="str">
        <f>_xlfn.XLOOKUP(B52,Products!$A$2:$A$21,Products!$B$2:$B$21,,0)</f>
        <v>Fan</v>
      </c>
      <c r="E52" s="1">
        <f>_xlfn.XLOOKUP(D52,Products!$B$2:$B$21,Products!$C$2:$C$21,,0)</f>
        <v>45046</v>
      </c>
      <c r="F52" s="4">
        <f t="shared" si="0"/>
        <v>135138</v>
      </c>
    </row>
    <row r="53" spans="1:6" x14ac:dyDescent="0.3">
      <c r="A53" s="1">
        <v>5052</v>
      </c>
      <c r="B53" s="1">
        <v>13</v>
      </c>
      <c r="C53" s="4">
        <v>2</v>
      </c>
      <c r="D53" s="1" t="str">
        <f>_xlfn.XLOOKUP(B53,Products!$A$2:$A$21,Products!$B$2:$B$21,,0)</f>
        <v>Pen</v>
      </c>
      <c r="E53" s="1">
        <f>_xlfn.XLOOKUP(D53,Products!$B$2:$B$21,Products!$C$2:$C$21,,0)</f>
        <v>3900</v>
      </c>
      <c r="F53" s="4">
        <f t="shared" si="0"/>
        <v>7800</v>
      </c>
    </row>
    <row r="54" spans="1:6" x14ac:dyDescent="0.3">
      <c r="A54" s="1">
        <v>5053</v>
      </c>
      <c r="B54" s="1">
        <v>11</v>
      </c>
      <c r="C54" s="4">
        <v>5</v>
      </c>
      <c r="D54" s="1" t="str">
        <f>_xlfn.XLOOKUP(B54,Products!$A$2:$A$21,Products!$B$2:$B$21,,0)</f>
        <v>Fan</v>
      </c>
      <c r="E54" s="1">
        <f>_xlfn.XLOOKUP(D54,Products!$B$2:$B$21,Products!$C$2:$C$21,,0)</f>
        <v>45046</v>
      </c>
      <c r="F54" s="4">
        <f t="shared" si="0"/>
        <v>225230</v>
      </c>
    </row>
    <row r="55" spans="1:6" x14ac:dyDescent="0.3">
      <c r="A55" s="1">
        <v>5054</v>
      </c>
      <c r="B55" s="1">
        <v>13</v>
      </c>
      <c r="C55" s="4">
        <v>1</v>
      </c>
      <c r="D55" s="1" t="str">
        <f>_xlfn.XLOOKUP(B55,Products!$A$2:$A$21,Products!$B$2:$B$21,,0)</f>
        <v>Pen</v>
      </c>
      <c r="E55" s="1">
        <f>_xlfn.XLOOKUP(D55,Products!$B$2:$B$21,Products!$C$2:$C$21,,0)</f>
        <v>3900</v>
      </c>
      <c r="F55" s="4">
        <f t="shared" si="0"/>
        <v>3900</v>
      </c>
    </row>
    <row r="56" spans="1:6" x14ac:dyDescent="0.3">
      <c r="A56" s="1">
        <v>5055</v>
      </c>
      <c r="B56" s="1">
        <v>20</v>
      </c>
      <c r="C56" s="4">
        <v>5</v>
      </c>
      <c r="D56" s="1" t="str">
        <f>_xlfn.XLOOKUP(B56,Products!$A$2:$A$21,Products!$B$2:$B$21,,0)</f>
        <v>SSD</v>
      </c>
      <c r="E56" s="1">
        <f>_xlfn.XLOOKUP(D56,Products!$B$2:$B$21,Products!$C$2:$C$21,,0)</f>
        <v>10724</v>
      </c>
      <c r="F56" s="4">
        <f t="shared" si="0"/>
        <v>53620</v>
      </c>
    </row>
    <row r="57" spans="1:6" x14ac:dyDescent="0.3">
      <c r="A57" s="1">
        <v>5056</v>
      </c>
      <c r="B57" s="1">
        <v>17</v>
      </c>
      <c r="C57" s="4">
        <v>2</v>
      </c>
      <c r="D57" s="1" t="str">
        <f>_xlfn.XLOOKUP(B57,Products!$A$2:$A$21,Products!$B$2:$B$21,,0)</f>
        <v>TV</v>
      </c>
      <c r="E57" s="1">
        <f>_xlfn.XLOOKUP(D57,Products!$B$2:$B$21,Products!$C$2:$C$21,,0)</f>
        <v>25434</v>
      </c>
      <c r="F57" s="4">
        <f t="shared" si="0"/>
        <v>50868</v>
      </c>
    </row>
    <row r="58" spans="1:6" x14ac:dyDescent="0.3">
      <c r="A58" s="1">
        <v>5057</v>
      </c>
      <c r="B58" s="1">
        <v>4</v>
      </c>
      <c r="C58" s="4">
        <v>4</v>
      </c>
      <c r="D58" s="1" t="str">
        <f>_xlfn.XLOOKUP(B58,Products!$A$2:$A$21,Products!$B$2:$B$21,,0)</f>
        <v>Monitor</v>
      </c>
      <c r="E58" s="1">
        <f>_xlfn.XLOOKUP(D58,Products!$B$2:$B$21,Products!$C$2:$C$21,,0)</f>
        <v>30181</v>
      </c>
      <c r="F58" s="4">
        <f t="shared" si="0"/>
        <v>120724</v>
      </c>
    </row>
    <row r="59" spans="1:6" x14ac:dyDescent="0.3">
      <c r="A59" s="1">
        <v>5058</v>
      </c>
      <c r="B59" s="1">
        <v>1</v>
      </c>
      <c r="C59" s="4">
        <v>3</v>
      </c>
      <c r="D59" s="1" t="str">
        <f>_xlfn.XLOOKUP(B59,Products!$A$2:$A$21,Products!$B$2:$B$21,,0)</f>
        <v>Laptop</v>
      </c>
      <c r="E59" s="1">
        <f>_xlfn.XLOOKUP(D59,Products!$B$2:$B$21,Products!$C$2:$C$21,,0)</f>
        <v>34130</v>
      </c>
      <c r="F59" s="4">
        <f t="shared" si="0"/>
        <v>102390</v>
      </c>
    </row>
    <row r="60" spans="1:6" x14ac:dyDescent="0.3">
      <c r="A60" s="1">
        <v>5059</v>
      </c>
      <c r="B60" s="1">
        <v>5</v>
      </c>
      <c r="C60" s="4">
        <v>2</v>
      </c>
      <c r="D60" s="1" t="str">
        <f>_xlfn.XLOOKUP(B60,Products!$A$2:$A$21,Products!$B$2:$B$21,,0)</f>
        <v>Tablet</v>
      </c>
      <c r="E60" s="1">
        <f>_xlfn.XLOOKUP(D60,Products!$B$2:$B$21,Products!$C$2:$C$21,,0)</f>
        <v>13509</v>
      </c>
      <c r="F60" s="4">
        <f t="shared" si="0"/>
        <v>27018</v>
      </c>
    </row>
    <row r="61" spans="1:6" x14ac:dyDescent="0.3">
      <c r="A61" s="1">
        <v>5060</v>
      </c>
      <c r="B61" s="1">
        <v>12</v>
      </c>
      <c r="C61" s="4">
        <v>1</v>
      </c>
      <c r="D61" s="1" t="str">
        <f>_xlfn.XLOOKUP(B61,Products!$A$2:$A$21,Products!$B$2:$B$21,,0)</f>
        <v>AC</v>
      </c>
      <c r="E61" s="1">
        <f>_xlfn.XLOOKUP(D61,Products!$B$2:$B$21,Products!$C$2:$C$21,,0)</f>
        <v>32456</v>
      </c>
      <c r="F61" s="4">
        <f t="shared" si="0"/>
        <v>32456</v>
      </c>
    </row>
    <row r="62" spans="1:6" x14ac:dyDescent="0.3">
      <c r="A62" s="1">
        <v>5061</v>
      </c>
      <c r="B62" s="1">
        <v>10</v>
      </c>
      <c r="C62" s="4">
        <v>3</v>
      </c>
      <c r="D62" s="1" t="str">
        <f>_xlfn.XLOOKUP(B62,Products!$A$2:$A$21,Products!$B$2:$B$21,,0)</f>
        <v>Chair</v>
      </c>
      <c r="E62" s="1">
        <f>_xlfn.XLOOKUP(D62,Products!$B$2:$B$21,Products!$C$2:$C$21,,0)</f>
        <v>18164</v>
      </c>
      <c r="F62" s="4">
        <f t="shared" si="0"/>
        <v>54492</v>
      </c>
    </row>
    <row r="63" spans="1:6" x14ac:dyDescent="0.3">
      <c r="A63" s="1">
        <v>5062</v>
      </c>
      <c r="B63" s="1">
        <v>12</v>
      </c>
      <c r="C63" s="4">
        <v>1</v>
      </c>
      <c r="D63" s="1" t="str">
        <f>_xlfn.XLOOKUP(B63,Products!$A$2:$A$21,Products!$B$2:$B$21,,0)</f>
        <v>AC</v>
      </c>
      <c r="E63" s="1">
        <f>_xlfn.XLOOKUP(D63,Products!$B$2:$B$21,Products!$C$2:$C$21,,0)</f>
        <v>32456</v>
      </c>
      <c r="F63" s="4">
        <f t="shared" si="0"/>
        <v>32456</v>
      </c>
    </row>
    <row r="64" spans="1:6" x14ac:dyDescent="0.3">
      <c r="A64" s="1">
        <v>5063</v>
      </c>
      <c r="B64" s="1">
        <v>3</v>
      </c>
      <c r="C64" s="4">
        <v>4</v>
      </c>
      <c r="D64" s="1" t="str">
        <f>_xlfn.XLOOKUP(B64,Products!$A$2:$A$21,Products!$B$2:$B$21,,0)</f>
        <v>Keyboard</v>
      </c>
      <c r="E64" s="1">
        <f>_xlfn.XLOOKUP(D64,Products!$B$2:$B$21,Products!$C$2:$C$21,,0)</f>
        <v>26587</v>
      </c>
      <c r="F64" s="4">
        <f t="shared" si="0"/>
        <v>106348</v>
      </c>
    </row>
    <row r="65" spans="1:6" x14ac:dyDescent="0.3">
      <c r="A65" s="1">
        <v>5064</v>
      </c>
      <c r="B65" s="1">
        <v>1</v>
      </c>
      <c r="C65" s="4">
        <v>3</v>
      </c>
      <c r="D65" s="1" t="str">
        <f>_xlfn.XLOOKUP(B65,Products!$A$2:$A$21,Products!$B$2:$B$21,,0)</f>
        <v>Laptop</v>
      </c>
      <c r="E65" s="1">
        <f>_xlfn.XLOOKUP(D65,Products!$B$2:$B$21,Products!$C$2:$C$21,,0)</f>
        <v>34130</v>
      </c>
      <c r="F65" s="4">
        <f t="shared" si="0"/>
        <v>102390</v>
      </c>
    </row>
    <row r="66" spans="1:6" x14ac:dyDescent="0.3">
      <c r="A66" s="1">
        <v>5065</v>
      </c>
      <c r="B66" s="1">
        <v>11</v>
      </c>
      <c r="C66" s="4">
        <v>3</v>
      </c>
      <c r="D66" s="1" t="str">
        <f>_xlfn.XLOOKUP(B66,Products!$A$2:$A$21,Products!$B$2:$B$21,,0)</f>
        <v>Fan</v>
      </c>
      <c r="E66" s="1">
        <f>_xlfn.XLOOKUP(D66,Products!$B$2:$B$21,Products!$C$2:$C$21,,0)</f>
        <v>45046</v>
      </c>
      <c r="F66" s="4">
        <f t="shared" si="0"/>
        <v>135138</v>
      </c>
    </row>
    <row r="67" spans="1:6" x14ac:dyDescent="0.3">
      <c r="A67" s="1">
        <v>5066</v>
      </c>
      <c r="B67" s="1">
        <v>16</v>
      </c>
      <c r="C67" s="4">
        <v>3</v>
      </c>
      <c r="D67" s="1" t="str">
        <f>_xlfn.XLOOKUP(B67,Products!$A$2:$A$21,Products!$B$2:$B$21,,0)</f>
        <v>Watch</v>
      </c>
      <c r="E67" s="1">
        <f>_xlfn.XLOOKUP(D67,Products!$B$2:$B$21,Products!$C$2:$C$21,,0)</f>
        <v>21553</v>
      </c>
      <c r="F67" s="4">
        <f t="shared" ref="F67:F130" si="1">C67*E67</f>
        <v>64659</v>
      </c>
    </row>
    <row r="68" spans="1:6" x14ac:dyDescent="0.3">
      <c r="A68" s="1">
        <v>5067</v>
      </c>
      <c r="B68" s="1">
        <v>16</v>
      </c>
      <c r="C68" s="4">
        <v>4</v>
      </c>
      <c r="D68" s="1" t="str">
        <f>_xlfn.XLOOKUP(B68,Products!$A$2:$A$21,Products!$B$2:$B$21,,0)</f>
        <v>Watch</v>
      </c>
      <c r="E68" s="1">
        <f>_xlfn.XLOOKUP(D68,Products!$B$2:$B$21,Products!$C$2:$C$21,,0)</f>
        <v>21553</v>
      </c>
      <c r="F68" s="4">
        <f t="shared" si="1"/>
        <v>86212</v>
      </c>
    </row>
    <row r="69" spans="1:6" x14ac:dyDescent="0.3">
      <c r="A69" s="1">
        <v>5068</v>
      </c>
      <c r="B69" s="1">
        <v>16</v>
      </c>
      <c r="C69" s="4">
        <v>4</v>
      </c>
      <c r="D69" s="1" t="str">
        <f>_xlfn.XLOOKUP(B69,Products!$A$2:$A$21,Products!$B$2:$B$21,,0)</f>
        <v>Watch</v>
      </c>
      <c r="E69" s="1">
        <f>_xlfn.XLOOKUP(D69,Products!$B$2:$B$21,Products!$C$2:$C$21,,0)</f>
        <v>21553</v>
      </c>
      <c r="F69" s="4">
        <f t="shared" si="1"/>
        <v>86212</v>
      </c>
    </row>
    <row r="70" spans="1:6" x14ac:dyDescent="0.3">
      <c r="A70" s="1">
        <v>5069</v>
      </c>
      <c r="B70" s="1">
        <v>8</v>
      </c>
      <c r="C70" s="4">
        <v>2</v>
      </c>
      <c r="D70" s="1" t="str">
        <f>_xlfn.XLOOKUP(B70,Products!$A$2:$A$21,Products!$B$2:$B$21,,0)</f>
        <v>Printer</v>
      </c>
      <c r="E70" s="1">
        <f>_xlfn.XLOOKUP(D70,Products!$B$2:$B$21,Products!$C$2:$C$21,,0)</f>
        <v>31589</v>
      </c>
      <c r="F70" s="4">
        <f t="shared" si="1"/>
        <v>63178</v>
      </c>
    </row>
    <row r="71" spans="1:6" x14ac:dyDescent="0.3">
      <c r="A71" s="1">
        <v>5070</v>
      </c>
      <c r="B71" s="1">
        <v>15</v>
      </c>
      <c r="C71" s="4">
        <v>2</v>
      </c>
      <c r="D71" s="1" t="str">
        <f>_xlfn.XLOOKUP(B71,Products!$A$2:$A$21,Products!$B$2:$B$21,,0)</f>
        <v>Bag</v>
      </c>
      <c r="E71" s="1">
        <f>_xlfn.XLOOKUP(D71,Products!$B$2:$B$21,Products!$C$2:$C$21,,0)</f>
        <v>12567</v>
      </c>
      <c r="F71" s="4">
        <f t="shared" si="1"/>
        <v>25134</v>
      </c>
    </row>
    <row r="72" spans="1:6" x14ac:dyDescent="0.3">
      <c r="A72" s="1">
        <v>5071</v>
      </c>
      <c r="B72" s="1">
        <v>9</v>
      </c>
      <c r="C72" s="4">
        <v>5</v>
      </c>
      <c r="D72" s="1" t="str">
        <f>_xlfn.XLOOKUP(B72,Products!$A$2:$A$21,Products!$B$2:$B$21,,0)</f>
        <v>Desk</v>
      </c>
      <c r="E72" s="1">
        <f>_xlfn.XLOOKUP(D72,Products!$B$2:$B$21,Products!$C$2:$C$21,,0)</f>
        <v>15870</v>
      </c>
      <c r="F72" s="4">
        <f t="shared" si="1"/>
        <v>79350</v>
      </c>
    </row>
    <row r="73" spans="1:6" x14ac:dyDescent="0.3">
      <c r="A73" s="1">
        <v>5072</v>
      </c>
      <c r="B73" s="1">
        <v>9</v>
      </c>
      <c r="C73" s="4">
        <v>1</v>
      </c>
      <c r="D73" s="1" t="str">
        <f>_xlfn.XLOOKUP(B73,Products!$A$2:$A$21,Products!$B$2:$B$21,,0)</f>
        <v>Desk</v>
      </c>
      <c r="E73" s="1">
        <f>_xlfn.XLOOKUP(D73,Products!$B$2:$B$21,Products!$C$2:$C$21,,0)</f>
        <v>15870</v>
      </c>
      <c r="F73" s="4">
        <f t="shared" si="1"/>
        <v>15870</v>
      </c>
    </row>
    <row r="74" spans="1:6" x14ac:dyDescent="0.3">
      <c r="A74" s="1">
        <v>5073</v>
      </c>
      <c r="B74" s="1">
        <v>19</v>
      </c>
      <c r="C74" s="4">
        <v>1</v>
      </c>
      <c r="D74" s="1" t="str">
        <f>_xlfn.XLOOKUP(B74,Products!$A$2:$A$21,Products!$B$2:$B$21,,0)</f>
        <v>Router</v>
      </c>
      <c r="E74" s="1">
        <f>_xlfn.XLOOKUP(D74,Products!$B$2:$B$21,Products!$C$2:$C$21,,0)</f>
        <v>37165</v>
      </c>
      <c r="F74" s="4">
        <f t="shared" si="1"/>
        <v>37165</v>
      </c>
    </row>
    <row r="75" spans="1:6" x14ac:dyDescent="0.3">
      <c r="A75" s="1">
        <v>5074</v>
      </c>
      <c r="B75" s="1">
        <v>19</v>
      </c>
      <c r="C75" s="4">
        <v>1</v>
      </c>
      <c r="D75" s="1" t="str">
        <f>_xlfn.XLOOKUP(B75,Products!$A$2:$A$21,Products!$B$2:$B$21,,0)</f>
        <v>Router</v>
      </c>
      <c r="E75" s="1">
        <f>_xlfn.XLOOKUP(D75,Products!$B$2:$B$21,Products!$C$2:$C$21,,0)</f>
        <v>37165</v>
      </c>
      <c r="F75" s="4">
        <f t="shared" si="1"/>
        <v>37165</v>
      </c>
    </row>
    <row r="76" spans="1:6" x14ac:dyDescent="0.3">
      <c r="A76" s="1">
        <v>5075</v>
      </c>
      <c r="B76" s="1">
        <v>20</v>
      </c>
      <c r="C76" s="4">
        <v>3</v>
      </c>
      <c r="D76" s="1" t="str">
        <f>_xlfn.XLOOKUP(B76,Products!$A$2:$A$21,Products!$B$2:$B$21,,0)</f>
        <v>SSD</v>
      </c>
      <c r="E76" s="1">
        <f>_xlfn.XLOOKUP(D76,Products!$B$2:$B$21,Products!$C$2:$C$21,,0)</f>
        <v>10724</v>
      </c>
      <c r="F76" s="4">
        <f t="shared" si="1"/>
        <v>32172</v>
      </c>
    </row>
    <row r="77" spans="1:6" x14ac:dyDescent="0.3">
      <c r="A77" s="1">
        <v>5076</v>
      </c>
      <c r="B77" s="1">
        <v>12</v>
      </c>
      <c r="C77" s="4">
        <v>3</v>
      </c>
      <c r="D77" s="1" t="str">
        <f>_xlfn.XLOOKUP(B77,Products!$A$2:$A$21,Products!$B$2:$B$21,,0)</f>
        <v>AC</v>
      </c>
      <c r="E77" s="1">
        <f>_xlfn.XLOOKUP(D77,Products!$B$2:$B$21,Products!$C$2:$C$21,,0)</f>
        <v>32456</v>
      </c>
      <c r="F77" s="4">
        <f t="shared" si="1"/>
        <v>97368</v>
      </c>
    </row>
    <row r="78" spans="1:6" x14ac:dyDescent="0.3">
      <c r="A78" s="1">
        <v>5077</v>
      </c>
      <c r="B78" s="1">
        <v>12</v>
      </c>
      <c r="C78" s="4">
        <v>4</v>
      </c>
      <c r="D78" s="1" t="str">
        <f>_xlfn.XLOOKUP(B78,Products!$A$2:$A$21,Products!$B$2:$B$21,,0)</f>
        <v>AC</v>
      </c>
      <c r="E78" s="1">
        <f>_xlfn.XLOOKUP(D78,Products!$B$2:$B$21,Products!$C$2:$C$21,,0)</f>
        <v>32456</v>
      </c>
      <c r="F78" s="4">
        <f t="shared" si="1"/>
        <v>129824</v>
      </c>
    </row>
    <row r="79" spans="1:6" x14ac:dyDescent="0.3">
      <c r="A79" s="1">
        <v>5078</v>
      </c>
      <c r="B79" s="1">
        <v>3</v>
      </c>
      <c r="C79" s="4">
        <v>4</v>
      </c>
      <c r="D79" s="1" t="str">
        <f>_xlfn.XLOOKUP(B79,Products!$A$2:$A$21,Products!$B$2:$B$21,,0)</f>
        <v>Keyboard</v>
      </c>
      <c r="E79" s="1">
        <f>_xlfn.XLOOKUP(D79,Products!$B$2:$B$21,Products!$C$2:$C$21,,0)</f>
        <v>26587</v>
      </c>
      <c r="F79" s="4">
        <f t="shared" si="1"/>
        <v>106348</v>
      </c>
    </row>
    <row r="80" spans="1:6" x14ac:dyDescent="0.3">
      <c r="A80" s="1">
        <v>5079</v>
      </c>
      <c r="B80" s="1">
        <v>14</v>
      </c>
      <c r="C80" s="4">
        <v>2</v>
      </c>
      <c r="D80" s="1" t="str">
        <f>_xlfn.XLOOKUP(B80,Products!$A$2:$A$21,Products!$B$2:$B$21,,0)</f>
        <v>Book</v>
      </c>
      <c r="E80" s="1">
        <f>_xlfn.XLOOKUP(D80,Products!$B$2:$B$21,Products!$C$2:$C$21,,0)</f>
        <v>23213</v>
      </c>
      <c r="F80" s="4">
        <f t="shared" si="1"/>
        <v>46426</v>
      </c>
    </row>
    <row r="81" spans="1:6" x14ac:dyDescent="0.3">
      <c r="A81" s="1">
        <v>5080</v>
      </c>
      <c r="B81" s="1">
        <v>7</v>
      </c>
      <c r="C81" s="4">
        <v>2</v>
      </c>
      <c r="D81" s="1" t="str">
        <f>_xlfn.XLOOKUP(B81,Products!$A$2:$A$21,Products!$B$2:$B$21,,0)</f>
        <v>Camera</v>
      </c>
      <c r="E81" s="1">
        <f>_xlfn.XLOOKUP(D81,Products!$B$2:$B$21,Products!$C$2:$C$21,,0)</f>
        <v>34857</v>
      </c>
      <c r="F81" s="4">
        <f t="shared" si="1"/>
        <v>69714</v>
      </c>
    </row>
    <row r="82" spans="1:6" x14ac:dyDescent="0.3">
      <c r="A82" s="1">
        <v>5081</v>
      </c>
      <c r="B82" s="1">
        <v>7</v>
      </c>
      <c r="C82" s="4">
        <v>1</v>
      </c>
      <c r="D82" s="1" t="str">
        <f>_xlfn.XLOOKUP(B82,Products!$A$2:$A$21,Products!$B$2:$B$21,,0)</f>
        <v>Camera</v>
      </c>
      <c r="E82" s="1">
        <f>_xlfn.XLOOKUP(D82,Products!$B$2:$B$21,Products!$C$2:$C$21,,0)</f>
        <v>34857</v>
      </c>
      <c r="F82" s="4">
        <f t="shared" si="1"/>
        <v>34857</v>
      </c>
    </row>
    <row r="83" spans="1:6" x14ac:dyDescent="0.3">
      <c r="A83" s="1">
        <v>5082</v>
      </c>
      <c r="B83" s="1">
        <v>11</v>
      </c>
      <c r="C83" s="4">
        <v>4</v>
      </c>
      <c r="D83" s="1" t="str">
        <f>_xlfn.XLOOKUP(B83,Products!$A$2:$A$21,Products!$B$2:$B$21,,0)</f>
        <v>Fan</v>
      </c>
      <c r="E83" s="1">
        <f>_xlfn.XLOOKUP(D83,Products!$B$2:$B$21,Products!$C$2:$C$21,,0)</f>
        <v>45046</v>
      </c>
      <c r="F83" s="4">
        <f t="shared" si="1"/>
        <v>180184</v>
      </c>
    </row>
    <row r="84" spans="1:6" x14ac:dyDescent="0.3">
      <c r="A84" s="1">
        <v>5083</v>
      </c>
      <c r="B84" s="1">
        <v>1</v>
      </c>
      <c r="C84" s="4">
        <v>5</v>
      </c>
      <c r="D84" s="1" t="str">
        <f>_xlfn.XLOOKUP(B84,Products!$A$2:$A$21,Products!$B$2:$B$21,,0)</f>
        <v>Laptop</v>
      </c>
      <c r="E84" s="1">
        <f>_xlfn.XLOOKUP(D84,Products!$B$2:$B$21,Products!$C$2:$C$21,,0)</f>
        <v>34130</v>
      </c>
      <c r="F84" s="4">
        <f t="shared" si="1"/>
        <v>170650</v>
      </c>
    </row>
    <row r="85" spans="1:6" x14ac:dyDescent="0.3">
      <c r="A85" s="1">
        <v>5084</v>
      </c>
      <c r="B85" s="1">
        <v>10</v>
      </c>
      <c r="C85" s="4">
        <v>2</v>
      </c>
      <c r="D85" s="1" t="str">
        <f>_xlfn.XLOOKUP(B85,Products!$A$2:$A$21,Products!$B$2:$B$21,,0)</f>
        <v>Chair</v>
      </c>
      <c r="E85" s="1">
        <f>_xlfn.XLOOKUP(D85,Products!$B$2:$B$21,Products!$C$2:$C$21,,0)</f>
        <v>18164</v>
      </c>
      <c r="F85" s="4">
        <f t="shared" si="1"/>
        <v>36328</v>
      </c>
    </row>
    <row r="86" spans="1:6" x14ac:dyDescent="0.3">
      <c r="A86" s="1">
        <v>5085</v>
      </c>
      <c r="B86" s="1">
        <v>18</v>
      </c>
      <c r="C86" s="4">
        <v>5</v>
      </c>
      <c r="D86" s="1" t="str">
        <f>_xlfn.XLOOKUP(B86,Products!$A$2:$A$21,Products!$B$2:$B$21,,0)</f>
        <v>Speaker</v>
      </c>
      <c r="E86" s="1">
        <f>_xlfn.XLOOKUP(D86,Products!$B$2:$B$21,Products!$C$2:$C$21,,0)</f>
        <v>28829</v>
      </c>
      <c r="F86" s="4">
        <f t="shared" si="1"/>
        <v>144145</v>
      </c>
    </row>
    <row r="87" spans="1:6" x14ac:dyDescent="0.3">
      <c r="A87" s="1">
        <v>5086</v>
      </c>
      <c r="B87" s="1">
        <v>16</v>
      </c>
      <c r="C87" s="4">
        <v>4</v>
      </c>
      <c r="D87" s="1" t="str">
        <f>_xlfn.XLOOKUP(B87,Products!$A$2:$A$21,Products!$B$2:$B$21,,0)</f>
        <v>Watch</v>
      </c>
      <c r="E87" s="1">
        <f>_xlfn.XLOOKUP(D87,Products!$B$2:$B$21,Products!$C$2:$C$21,,0)</f>
        <v>21553</v>
      </c>
      <c r="F87" s="4">
        <f t="shared" si="1"/>
        <v>86212</v>
      </c>
    </row>
    <row r="88" spans="1:6" x14ac:dyDescent="0.3">
      <c r="A88" s="1">
        <v>5087</v>
      </c>
      <c r="B88" s="1">
        <v>12</v>
      </c>
      <c r="C88" s="4">
        <v>1</v>
      </c>
      <c r="D88" s="1" t="str">
        <f>_xlfn.XLOOKUP(B88,Products!$A$2:$A$21,Products!$B$2:$B$21,,0)</f>
        <v>AC</v>
      </c>
      <c r="E88" s="1">
        <f>_xlfn.XLOOKUP(D88,Products!$B$2:$B$21,Products!$C$2:$C$21,,0)</f>
        <v>32456</v>
      </c>
      <c r="F88" s="4">
        <f t="shared" si="1"/>
        <v>32456</v>
      </c>
    </row>
    <row r="89" spans="1:6" x14ac:dyDescent="0.3">
      <c r="A89" s="1">
        <v>5088</v>
      </c>
      <c r="B89" s="1">
        <v>7</v>
      </c>
      <c r="C89" s="4">
        <v>1</v>
      </c>
      <c r="D89" s="1" t="str">
        <f>_xlfn.XLOOKUP(B89,Products!$A$2:$A$21,Products!$B$2:$B$21,,0)</f>
        <v>Camera</v>
      </c>
      <c r="E89" s="1">
        <f>_xlfn.XLOOKUP(D89,Products!$B$2:$B$21,Products!$C$2:$C$21,,0)</f>
        <v>34857</v>
      </c>
      <c r="F89" s="4">
        <f t="shared" si="1"/>
        <v>34857</v>
      </c>
    </row>
    <row r="90" spans="1:6" x14ac:dyDescent="0.3">
      <c r="A90" s="1">
        <v>5089</v>
      </c>
      <c r="B90" s="1">
        <v>17</v>
      </c>
      <c r="C90" s="4">
        <v>5</v>
      </c>
      <c r="D90" s="1" t="str">
        <f>_xlfn.XLOOKUP(B90,Products!$A$2:$A$21,Products!$B$2:$B$21,,0)</f>
        <v>TV</v>
      </c>
      <c r="E90" s="1">
        <f>_xlfn.XLOOKUP(D90,Products!$B$2:$B$21,Products!$C$2:$C$21,,0)</f>
        <v>25434</v>
      </c>
      <c r="F90" s="4">
        <f t="shared" si="1"/>
        <v>127170</v>
      </c>
    </row>
    <row r="91" spans="1:6" x14ac:dyDescent="0.3">
      <c r="A91" s="1">
        <v>5090</v>
      </c>
      <c r="B91" s="1">
        <v>18</v>
      </c>
      <c r="C91" s="4">
        <v>1</v>
      </c>
      <c r="D91" s="1" t="str">
        <f>_xlfn.XLOOKUP(B91,Products!$A$2:$A$21,Products!$B$2:$B$21,,0)</f>
        <v>Speaker</v>
      </c>
      <c r="E91" s="1">
        <f>_xlfn.XLOOKUP(D91,Products!$B$2:$B$21,Products!$C$2:$C$21,,0)</f>
        <v>28829</v>
      </c>
      <c r="F91" s="4">
        <f t="shared" si="1"/>
        <v>28829</v>
      </c>
    </row>
    <row r="92" spans="1:6" x14ac:dyDescent="0.3">
      <c r="A92" s="1">
        <v>5091</v>
      </c>
      <c r="B92" s="1">
        <v>6</v>
      </c>
      <c r="C92" s="4">
        <v>4</v>
      </c>
      <c r="D92" s="1" t="str">
        <f>_xlfn.XLOOKUP(B92,Products!$A$2:$A$21,Products!$B$2:$B$21,,0)</f>
        <v>Phone</v>
      </c>
      <c r="E92" s="1">
        <f>_xlfn.XLOOKUP(D92,Products!$B$2:$B$21,Products!$C$2:$C$21,,0)</f>
        <v>10250</v>
      </c>
      <c r="F92" s="4">
        <f t="shared" si="1"/>
        <v>41000</v>
      </c>
    </row>
    <row r="93" spans="1:6" x14ac:dyDescent="0.3">
      <c r="A93" s="1">
        <v>5092</v>
      </c>
      <c r="B93" s="1">
        <v>8</v>
      </c>
      <c r="C93" s="4">
        <v>2</v>
      </c>
      <c r="D93" s="1" t="str">
        <f>_xlfn.XLOOKUP(B93,Products!$A$2:$A$21,Products!$B$2:$B$21,,0)</f>
        <v>Printer</v>
      </c>
      <c r="E93" s="1">
        <f>_xlfn.XLOOKUP(D93,Products!$B$2:$B$21,Products!$C$2:$C$21,,0)</f>
        <v>31589</v>
      </c>
      <c r="F93" s="4">
        <f t="shared" si="1"/>
        <v>63178</v>
      </c>
    </row>
    <row r="94" spans="1:6" x14ac:dyDescent="0.3">
      <c r="A94" s="1">
        <v>5093</v>
      </c>
      <c r="B94" s="1">
        <v>14</v>
      </c>
      <c r="C94" s="4">
        <v>1</v>
      </c>
      <c r="D94" s="1" t="str">
        <f>_xlfn.XLOOKUP(B94,Products!$A$2:$A$21,Products!$B$2:$B$21,,0)</f>
        <v>Book</v>
      </c>
      <c r="E94" s="1">
        <f>_xlfn.XLOOKUP(D94,Products!$B$2:$B$21,Products!$C$2:$C$21,,0)</f>
        <v>23213</v>
      </c>
      <c r="F94" s="4">
        <f t="shared" si="1"/>
        <v>23213</v>
      </c>
    </row>
    <row r="95" spans="1:6" x14ac:dyDescent="0.3">
      <c r="A95" s="1">
        <v>5094</v>
      </c>
      <c r="B95" s="1">
        <v>7</v>
      </c>
      <c r="C95" s="4">
        <v>4</v>
      </c>
      <c r="D95" s="1" t="str">
        <f>_xlfn.XLOOKUP(B95,Products!$A$2:$A$21,Products!$B$2:$B$21,,0)</f>
        <v>Camera</v>
      </c>
      <c r="E95" s="1">
        <f>_xlfn.XLOOKUP(D95,Products!$B$2:$B$21,Products!$C$2:$C$21,,0)</f>
        <v>34857</v>
      </c>
      <c r="F95" s="4">
        <f t="shared" si="1"/>
        <v>139428</v>
      </c>
    </row>
    <row r="96" spans="1:6" x14ac:dyDescent="0.3">
      <c r="A96" s="1">
        <v>5095</v>
      </c>
      <c r="B96" s="1">
        <v>16</v>
      </c>
      <c r="C96" s="4">
        <v>1</v>
      </c>
      <c r="D96" s="1" t="str">
        <f>_xlfn.XLOOKUP(B96,Products!$A$2:$A$21,Products!$B$2:$B$21,,0)</f>
        <v>Watch</v>
      </c>
      <c r="E96" s="1">
        <f>_xlfn.XLOOKUP(D96,Products!$B$2:$B$21,Products!$C$2:$C$21,,0)</f>
        <v>21553</v>
      </c>
      <c r="F96" s="4">
        <f t="shared" si="1"/>
        <v>21553</v>
      </c>
    </row>
    <row r="97" spans="1:6" x14ac:dyDescent="0.3">
      <c r="A97" s="1">
        <v>5096</v>
      </c>
      <c r="B97" s="1">
        <v>20</v>
      </c>
      <c r="C97" s="4">
        <v>1</v>
      </c>
      <c r="D97" s="1" t="str">
        <f>_xlfn.XLOOKUP(B97,Products!$A$2:$A$21,Products!$B$2:$B$21,,0)</f>
        <v>SSD</v>
      </c>
      <c r="E97" s="1">
        <f>_xlfn.XLOOKUP(D97,Products!$B$2:$B$21,Products!$C$2:$C$21,,0)</f>
        <v>10724</v>
      </c>
      <c r="F97" s="4">
        <f t="shared" si="1"/>
        <v>10724</v>
      </c>
    </row>
    <row r="98" spans="1:6" x14ac:dyDescent="0.3">
      <c r="A98" s="1">
        <v>5097</v>
      </c>
      <c r="B98" s="1">
        <v>6</v>
      </c>
      <c r="C98" s="4">
        <v>3</v>
      </c>
      <c r="D98" s="1" t="str">
        <f>_xlfn.XLOOKUP(B98,Products!$A$2:$A$21,Products!$B$2:$B$21,,0)</f>
        <v>Phone</v>
      </c>
      <c r="E98" s="1">
        <f>_xlfn.XLOOKUP(D98,Products!$B$2:$B$21,Products!$C$2:$C$21,,0)</f>
        <v>10250</v>
      </c>
      <c r="F98" s="4">
        <f t="shared" si="1"/>
        <v>30750</v>
      </c>
    </row>
    <row r="99" spans="1:6" x14ac:dyDescent="0.3">
      <c r="A99" s="1">
        <v>5098</v>
      </c>
      <c r="B99" s="1">
        <v>14</v>
      </c>
      <c r="C99" s="4">
        <v>4</v>
      </c>
      <c r="D99" s="1" t="str">
        <f>_xlfn.XLOOKUP(B99,Products!$A$2:$A$21,Products!$B$2:$B$21,,0)</f>
        <v>Book</v>
      </c>
      <c r="E99" s="1">
        <f>_xlfn.XLOOKUP(D99,Products!$B$2:$B$21,Products!$C$2:$C$21,,0)</f>
        <v>23213</v>
      </c>
      <c r="F99" s="4">
        <f t="shared" si="1"/>
        <v>92852</v>
      </c>
    </row>
    <row r="100" spans="1:6" x14ac:dyDescent="0.3">
      <c r="A100" s="1">
        <v>5099</v>
      </c>
      <c r="B100" s="1">
        <v>2</v>
      </c>
      <c r="C100" s="4">
        <v>3</v>
      </c>
      <c r="D100" s="1" t="str">
        <f>_xlfn.XLOOKUP(B100,Products!$A$2:$A$21,Products!$B$2:$B$21,,0)</f>
        <v>Mouse</v>
      </c>
      <c r="E100" s="1">
        <f>_xlfn.XLOOKUP(D100,Products!$B$2:$B$21,Products!$C$2:$C$21,,0)</f>
        <v>40685</v>
      </c>
      <c r="F100" s="4">
        <f t="shared" si="1"/>
        <v>122055</v>
      </c>
    </row>
    <row r="101" spans="1:6" x14ac:dyDescent="0.3">
      <c r="A101" s="1">
        <v>5100</v>
      </c>
      <c r="B101" s="1">
        <v>16</v>
      </c>
      <c r="C101" s="4">
        <v>2</v>
      </c>
      <c r="D101" s="1" t="str">
        <f>_xlfn.XLOOKUP(B101,Products!$A$2:$A$21,Products!$B$2:$B$21,,0)</f>
        <v>Watch</v>
      </c>
      <c r="E101" s="1">
        <f>_xlfn.XLOOKUP(D101,Products!$B$2:$B$21,Products!$C$2:$C$21,,0)</f>
        <v>21553</v>
      </c>
      <c r="F101" s="4">
        <f t="shared" si="1"/>
        <v>43106</v>
      </c>
    </row>
    <row r="102" spans="1:6" x14ac:dyDescent="0.3">
      <c r="A102" s="1">
        <v>5101</v>
      </c>
      <c r="B102" s="1">
        <v>4</v>
      </c>
      <c r="C102" s="4">
        <v>5</v>
      </c>
      <c r="D102" s="1" t="str">
        <f>_xlfn.XLOOKUP(B102,Products!$A$2:$A$21,Products!$B$2:$B$21,,0)</f>
        <v>Monitor</v>
      </c>
      <c r="E102" s="1">
        <f>_xlfn.XLOOKUP(D102,Products!$B$2:$B$21,Products!$C$2:$C$21,,0)</f>
        <v>30181</v>
      </c>
      <c r="F102" s="4">
        <f t="shared" si="1"/>
        <v>150905</v>
      </c>
    </row>
    <row r="103" spans="1:6" x14ac:dyDescent="0.3">
      <c r="A103" s="1">
        <v>5102</v>
      </c>
      <c r="B103" s="1">
        <v>10</v>
      </c>
      <c r="C103" s="4">
        <v>3</v>
      </c>
      <c r="D103" s="1" t="str">
        <f>_xlfn.XLOOKUP(B103,Products!$A$2:$A$21,Products!$B$2:$B$21,,0)</f>
        <v>Chair</v>
      </c>
      <c r="E103" s="1">
        <f>_xlfn.XLOOKUP(D103,Products!$B$2:$B$21,Products!$C$2:$C$21,,0)</f>
        <v>18164</v>
      </c>
      <c r="F103" s="4">
        <f t="shared" si="1"/>
        <v>54492</v>
      </c>
    </row>
    <row r="104" spans="1:6" x14ac:dyDescent="0.3">
      <c r="A104" s="1">
        <v>5103</v>
      </c>
      <c r="B104" s="1">
        <v>2</v>
      </c>
      <c r="C104" s="4">
        <v>3</v>
      </c>
      <c r="D104" s="1" t="str">
        <f>_xlfn.XLOOKUP(B104,Products!$A$2:$A$21,Products!$B$2:$B$21,,0)</f>
        <v>Mouse</v>
      </c>
      <c r="E104" s="1">
        <f>_xlfn.XLOOKUP(D104,Products!$B$2:$B$21,Products!$C$2:$C$21,,0)</f>
        <v>40685</v>
      </c>
      <c r="F104" s="4">
        <f t="shared" si="1"/>
        <v>122055</v>
      </c>
    </row>
    <row r="105" spans="1:6" x14ac:dyDescent="0.3">
      <c r="A105" s="1">
        <v>5104</v>
      </c>
      <c r="B105" s="1">
        <v>16</v>
      </c>
      <c r="C105" s="4">
        <v>5</v>
      </c>
      <c r="D105" s="1" t="str">
        <f>_xlfn.XLOOKUP(B105,Products!$A$2:$A$21,Products!$B$2:$B$21,,0)</f>
        <v>Watch</v>
      </c>
      <c r="E105" s="1">
        <f>_xlfn.XLOOKUP(D105,Products!$B$2:$B$21,Products!$C$2:$C$21,,0)</f>
        <v>21553</v>
      </c>
      <c r="F105" s="4">
        <f t="shared" si="1"/>
        <v>107765</v>
      </c>
    </row>
    <row r="106" spans="1:6" x14ac:dyDescent="0.3">
      <c r="A106" s="1">
        <v>5105</v>
      </c>
      <c r="B106" s="1">
        <v>20</v>
      </c>
      <c r="C106" s="4">
        <v>2</v>
      </c>
      <c r="D106" s="1" t="str">
        <f>_xlfn.XLOOKUP(B106,Products!$A$2:$A$21,Products!$B$2:$B$21,,0)</f>
        <v>SSD</v>
      </c>
      <c r="E106" s="1">
        <f>_xlfn.XLOOKUP(D106,Products!$B$2:$B$21,Products!$C$2:$C$21,,0)</f>
        <v>10724</v>
      </c>
      <c r="F106" s="4">
        <f t="shared" si="1"/>
        <v>21448</v>
      </c>
    </row>
    <row r="107" spans="1:6" x14ac:dyDescent="0.3">
      <c r="A107" s="1">
        <v>5106</v>
      </c>
      <c r="B107" s="1">
        <v>3</v>
      </c>
      <c r="C107" s="4">
        <v>3</v>
      </c>
      <c r="D107" s="1" t="str">
        <f>_xlfn.XLOOKUP(B107,Products!$A$2:$A$21,Products!$B$2:$B$21,,0)</f>
        <v>Keyboard</v>
      </c>
      <c r="E107" s="1">
        <f>_xlfn.XLOOKUP(D107,Products!$B$2:$B$21,Products!$C$2:$C$21,,0)</f>
        <v>26587</v>
      </c>
      <c r="F107" s="4">
        <f t="shared" si="1"/>
        <v>79761</v>
      </c>
    </row>
    <row r="108" spans="1:6" x14ac:dyDescent="0.3">
      <c r="A108" s="1">
        <v>5107</v>
      </c>
      <c r="B108" s="1">
        <v>4</v>
      </c>
      <c r="C108" s="4">
        <v>1</v>
      </c>
      <c r="D108" s="1" t="str">
        <f>_xlfn.XLOOKUP(B108,Products!$A$2:$A$21,Products!$B$2:$B$21,,0)</f>
        <v>Monitor</v>
      </c>
      <c r="E108" s="1">
        <f>_xlfn.XLOOKUP(D108,Products!$B$2:$B$21,Products!$C$2:$C$21,,0)</f>
        <v>30181</v>
      </c>
      <c r="F108" s="4">
        <f t="shared" si="1"/>
        <v>30181</v>
      </c>
    </row>
    <row r="109" spans="1:6" x14ac:dyDescent="0.3">
      <c r="A109" s="1">
        <v>5108</v>
      </c>
      <c r="B109" s="1">
        <v>12</v>
      </c>
      <c r="C109" s="4">
        <v>1</v>
      </c>
      <c r="D109" s="1" t="str">
        <f>_xlfn.XLOOKUP(B109,Products!$A$2:$A$21,Products!$B$2:$B$21,,0)</f>
        <v>AC</v>
      </c>
      <c r="E109" s="1">
        <f>_xlfn.XLOOKUP(D109,Products!$B$2:$B$21,Products!$C$2:$C$21,,0)</f>
        <v>32456</v>
      </c>
      <c r="F109" s="4">
        <f t="shared" si="1"/>
        <v>32456</v>
      </c>
    </row>
    <row r="110" spans="1:6" x14ac:dyDescent="0.3">
      <c r="A110" s="1">
        <v>5109</v>
      </c>
      <c r="B110" s="1">
        <v>2</v>
      </c>
      <c r="C110" s="4">
        <v>3</v>
      </c>
      <c r="D110" s="1" t="str">
        <f>_xlfn.XLOOKUP(B110,Products!$A$2:$A$21,Products!$B$2:$B$21,,0)</f>
        <v>Mouse</v>
      </c>
      <c r="E110" s="1">
        <f>_xlfn.XLOOKUP(D110,Products!$B$2:$B$21,Products!$C$2:$C$21,,0)</f>
        <v>40685</v>
      </c>
      <c r="F110" s="4">
        <f t="shared" si="1"/>
        <v>122055</v>
      </c>
    </row>
    <row r="111" spans="1:6" x14ac:dyDescent="0.3">
      <c r="A111" s="1">
        <v>5110</v>
      </c>
      <c r="B111" s="1">
        <v>4</v>
      </c>
      <c r="C111" s="4">
        <v>1</v>
      </c>
      <c r="D111" s="1" t="str">
        <f>_xlfn.XLOOKUP(B111,Products!$A$2:$A$21,Products!$B$2:$B$21,,0)</f>
        <v>Monitor</v>
      </c>
      <c r="E111" s="1">
        <f>_xlfn.XLOOKUP(D111,Products!$B$2:$B$21,Products!$C$2:$C$21,,0)</f>
        <v>30181</v>
      </c>
      <c r="F111" s="4">
        <f t="shared" si="1"/>
        <v>30181</v>
      </c>
    </row>
    <row r="112" spans="1:6" x14ac:dyDescent="0.3">
      <c r="A112" s="1">
        <v>5111</v>
      </c>
      <c r="B112" s="1">
        <v>9</v>
      </c>
      <c r="C112" s="4">
        <v>2</v>
      </c>
      <c r="D112" s="1" t="str">
        <f>_xlfn.XLOOKUP(B112,Products!$A$2:$A$21,Products!$B$2:$B$21,,0)</f>
        <v>Desk</v>
      </c>
      <c r="E112" s="1">
        <f>_xlfn.XLOOKUP(D112,Products!$B$2:$B$21,Products!$C$2:$C$21,,0)</f>
        <v>15870</v>
      </c>
      <c r="F112" s="4">
        <f t="shared" si="1"/>
        <v>31740</v>
      </c>
    </row>
    <row r="113" spans="1:6" x14ac:dyDescent="0.3">
      <c r="A113" s="1">
        <v>5112</v>
      </c>
      <c r="B113" s="1">
        <v>4</v>
      </c>
      <c r="C113" s="4">
        <v>1</v>
      </c>
      <c r="D113" s="1" t="str">
        <f>_xlfn.XLOOKUP(B113,Products!$A$2:$A$21,Products!$B$2:$B$21,,0)</f>
        <v>Monitor</v>
      </c>
      <c r="E113" s="1">
        <f>_xlfn.XLOOKUP(D113,Products!$B$2:$B$21,Products!$C$2:$C$21,,0)</f>
        <v>30181</v>
      </c>
      <c r="F113" s="4">
        <f t="shared" si="1"/>
        <v>30181</v>
      </c>
    </row>
    <row r="114" spans="1:6" x14ac:dyDescent="0.3">
      <c r="A114" s="1">
        <v>5113</v>
      </c>
      <c r="B114" s="1">
        <v>9</v>
      </c>
      <c r="C114" s="4">
        <v>5</v>
      </c>
      <c r="D114" s="1" t="str">
        <f>_xlfn.XLOOKUP(B114,Products!$A$2:$A$21,Products!$B$2:$B$21,,0)</f>
        <v>Desk</v>
      </c>
      <c r="E114" s="1">
        <f>_xlfn.XLOOKUP(D114,Products!$B$2:$B$21,Products!$C$2:$C$21,,0)</f>
        <v>15870</v>
      </c>
      <c r="F114" s="4">
        <f t="shared" si="1"/>
        <v>79350</v>
      </c>
    </row>
    <row r="115" spans="1:6" x14ac:dyDescent="0.3">
      <c r="A115" s="1">
        <v>5114</v>
      </c>
      <c r="B115" s="1">
        <v>16</v>
      </c>
      <c r="C115" s="4">
        <v>5</v>
      </c>
      <c r="D115" s="1" t="str">
        <f>_xlfn.XLOOKUP(B115,Products!$A$2:$A$21,Products!$B$2:$B$21,,0)</f>
        <v>Watch</v>
      </c>
      <c r="E115" s="1">
        <f>_xlfn.XLOOKUP(D115,Products!$B$2:$B$21,Products!$C$2:$C$21,,0)</f>
        <v>21553</v>
      </c>
      <c r="F115" s="4">
        <f t="shared" si="1"/>
        <v>107765</v>
      </c>
    </row>
    <row r="116" spans="1:6" x14ac:dyDescent="0.3">
      <c r="A116" s="1">
        <v>5115</v>
      </c>
      <c r="B116" s="1">
        <v>5</v>
      </c>
      <c r="C116" s="4">
        <v>4</v>
      </c>
      <c r="D116" s="1" t="str">
        <f>_xlfn.XLOOKUP(B116,Products!$A$2:$A$21,Products!$B$2:$B$21,,0)</f>
        <v>Tablet</v>
      </c>
      <c r="E116" s="1">
        <f>_xlfn.XLOOKUP(D116,Products!$B$2:$B$21,Products!$C$2:$C$21,,0)</f>
        <v>13509</v>
      </c>
      <c r="F116" s="4">
        <f t="shared" si="1"/>
        <v>54036</v>
      </c>
    </row>
    <row r="117" spans="1:6" x14ac:dyDescent="0.3">
      <c r="A117" s="1">
        <v>5116</v>
      </c>
      <c r="B117" s="1">
        <v>14</v>
      </c>
      <c r="C117" s="4">
        <v>5</v>
      </c>
      <c r="D117" s="1" t="str">
        <f>_xlfn.XLOOKUP(B117,Products!$A$2:$A$21,Products!$B$2:$B$21,,0)</f>
        <v>Book</v>
      </c>
      <c r="E117" s="1">
        <f>_xlfn.XLOOKUP(D117,Products!$B$2:$B$21,Products!$C$2:$C$21,,0)</f>
        <v>23213</v>
      </c>
      <c r="F117" s="4">
        <f t="shared" si="1"/>
        <v>116065</v>
      </c>
    </row>
    <row r="118" spans="1:6" x14ac:dyDescent="0.3">
      <c r="A118" s="1">
        <v>5117</v>
      </c>
      <c r="B118" s="1">
        <v>7</v>
      </c>
      <c r="C118" s="4">
        <v>4</v>
      </c>
      <c r="D118" s="1" t="str">
        <f>_xlfn.XLOOKUP(B118,Products!$A$2:$A$21,Products!$B$2:$B$21,,0)</f>
        <v>Camera</v>
      </c>
      <c r="E118" s="1">
        <f>_xlfn.XLOOKUP(D118,Products!$B$2:$B$21,Products!$C$2:$C$21,,0)</f>
        <v>34857</v>
      </c>
      <c r="F118" s="4">
        <f t="shared" si="1"/>
        <v>139428</v>
      </c>
    </row>
    <row r="119" spans="1:6" x14ac:dyDescent="0.3">
      <c r="A119" s="1">
        <v>5118</v>
      </c>
      <c r="B119" s="1">
        <v>20</v>
      </c>
      <c r="C119" s="4">
        <v>4</v>
      </c>
      <c r="D119" s="1" t="str">
        <f>_xlfn.XLOOKUP(B119,Products!$A$2:$A$21,Products!$B$2:$B$21,,0)</f>
        <v>SSD</v>
      </c>
      <c r="E119" s="1">
        <f>_xlfn.XLOOKUP(D119,Products!$B$2:$B$21,Products!$C$2:$C$21,,0)</f>
        <v>10724</v>
      </c>
      <c r="F119" s="4">
        <f t="shared" si="1"/>
        <v>42896</v>
      </c>
    </row>
    <row r="120" spans="1:6" x14ac:dyDescent="0.3">
      <c r="A120" s="1">
        <v>5119</v>
      </c>
      <c r="B120" s="1">
        <v>12</v>
      </c>
      <c r="C120" s="4">
        <v>5</v>
      </c>
      <c r="D120" s="1" t="str">
        <f>_xlfn.XLOOKUP(B120,Products!$A$2:$A$21,Products!$B$2:$B$21,,0)</f>
        <v>AC</v>
      </c>
      <c r="E120" s="1">
        <f>_xlfn.XLOOKUP(D120,Products!$B$2:$B$21,Products!$C$2:$C$21,,0)</f>
        <v>32456</v>
      </c>
      <c r="F120" s="4">
        <f t="shared" si="1"/>
        <v>162280</v>
      </c>
    </row>
    <row r="121" spans="1:6" x14ac:dyDescent="0.3">
      <c r="A121" s="1">
        <v>5120</v>
      </c>
      <c r="B121" s="1">
        <v>4</v>
      </c>
      <c r="C121" s="4">
        <v>5</v>
      </c>
      <c r="D121" s="1" t="str">
        <f>_xlfn.XLOOKUP(B121,Products!$A$2:$A$21,Products!$B$2:$B$21,,0)</f>
        <v>Monitor</v>
      </c>
      <c r="E121" s="1">
        <f>_xlfn.XLOOKUP(D121,Products!$B$2:$B$21,Products!$C$2:$C$21,,0)</f>
        <v>30181</v>
      </c>
      <c r="F121" s="4">
        <f t="shared" si="1"/>
        <v>150905</v>
      </c>
    </row>
    <row r="122" spans="1:6" x14ac:dyDescent="0.3">
      <c r="A122" s="1">
        <v>5121</v>
      </c>
      <c r="B122" s="1">
        <v>5</v>
      </c>
      <c r="C122" s="4">
        <v>3</v>
      </c>
      <c r="D122" s="1" t="str">
        <f>_xlfn.XLOOKUP(B122,Products!$A$2:$A$21,Products!$B$2:$B$21,,0)</f>
        <v>Tablet</v>
      </c>
      <c r="E122" s="1">
        <f>_xlfn.XLOOKUP(D122,Products!$B$2:$B$21,Products!$C$2:$C$21,,0)</f>
        <v>13509</v>
      </c>
      <c r="F122" s="4">
        <f t="shared" si="1"/>
        <v>40527</v>
      </c>
    </row>
    <row r="123" spans="1:6" x14ac:dyDescent="0.3">
      <c r="A123" s="1">
        <v>5122</v>
      </c>
      <c r="B123" s="1">
        <v>7</v>
      </c>
      <c r="C123" s="4">
        <v>4</v>
      </c>
      <c r="D123" s="1" t="str">
        <f>_xlfn.XLOOKUP(B123,Products!$A$2:$A$21,Products!$B$2:$B$21,,0)</f>
        <v>Camera</v>
      </c>
      <c r="E123" s="1">
        <f>_xlfn.XLOOKUP(D123,Products!$B$2:$B$21,Products!$C$2:$C$21,,0)</f>
        <v>34857</v>
      </c>
      <c r="F123" s="4">
        <f t="shared" si="1"/>
        <v>139428</v>
      </c>
    </row>
    <row r="124" spans="1:6" x14ac:dyDescent="0.3">
      <c r="A124" s="1">
        <v>5123</v>
      </c>
      <c r="B124" s="1">
        <v>11</v>
      </c>
      <c r="C124" s="4">
        <v>5</v>
      </c>
      <c r="D124" s="1" t="str">
        <f>_xlfn.XLOOKUP(B124,Products!$A$2:$A$21,Products!$B$2:$B$21,,0)</f>
        <v>Fan</v>
      </c>
      <c r="E124" s="1">
        <f>_xlfn.XLOOKUP(D124,Products!$B$2:$B$21,Products!$C$2:$C$21,,0)</f>
        <v>45046</v>
      </c>
      <c r="F124" s="4">
        <f t="shared" si="1"/>
        <v>225230</v>
      </c>
    </row>
    <row r="125" spans="1:6" x14ac:dyDescent="0.3">
      <c r="A125" s="1">
        <v>5124</v>
      </c>
      <c r="B125" s="1">
        <v>3</v>
      </c>
      <c r="C125" s="4">
        <v>4</v>
      </c>
      <c r="D125" s="1" t="str">
        <f>_xlfn.XLOOKUP(B125,Products!$A$2:$A$21,Products!$B$2:$B$21,,0)</f>
        <v>Keyboard</v>
      </c>
      <c r="E125" s="1">
        <f>_xlfn.XLOOKUP(D125,Products!$B$2:$B$21,Products!$C$2:$C$21,,0)</f>
        <v>26587</v>
      </c>
      <c r="F125" s="4">
        <f t="shared" si="1"/>
        <v>106348</v>
      </c>
    </row>
    <row r="126" spans="1:6" x14ac:dyDescent="0.3">
      <c r="A126" s="1">
        <v>5125</v>
      </c>
      <c r="B126" s="1">
        <v>5</v>
      </c>
      <c r="C126" s="4">
        <v>1</v>
      </c>
      <c r="D126" s="1" t="str">
        <f>_xlfn.XLOOKUP(B126,Products!$A$2:$A$21,Products!$B$2:$B$21,,0)</f>
        <v>Tablet</v>
      </c>
      <c r="E126" s="1">
        <f>_xlfn.XLOOKUP(D126,Products!$B$2:$B$21,Products!$C$2:$C$21,,0)</f>
        <v>13509</v>
      </c>
      <c r="F126" s="4">
        <f t="shared" si="1"/>
        <v>13509</v>
      </c>
    </row>
    <row r="127" spans="1:6" x14ac:dyDescent="0.3">
      <c r="A127" s="1">
        <v>5126</v>
      </c>
      <c r="B127" s="1">
        <v>20</v>
      </c>
      <c r="C127" s="4">
        <v>5</v>
      </c>
      <c r="D127" s="1" t="str">
        <f>_xlfn.XLOOKUP(B127,Products!$A$2:$A$21,Products!$B$2:$B$21,,0)</f>
        <v>SSD</v>
      </c>
      <c r="E127" s="1">
        <f>_xlfn.XLOOKUP(D127,Products!$B$2:$B$21,Products!$C$2:$C$21,,0)</f>
        <v>10724</v>
      </c>
      <c r="F127" s="4">
        <f t="shared" si="1"/>
        <v>53620</v>
      </c>
    </row>
    <row r="128" spans="1:6" x14ac:dyDescent="0.3">
      <c r="A128" s="1">
        <v>5127</v>
      </c>
      <c r="B128" s="1">
        <v>10</v>
      </c>
      <c r="C128" s="4">
        <v>3</v>
      </c>
      <c r="D128" s="1" t="str">
        <f>_xlfn.XLOOKUP(B128,Products!$A$2:$A$21,Products!$B$2:$B$21,,0)</f>
        <v>Chair</v>
      </c>
      <c r="E128" s="1">
        <f>_xlfn.XLOOKUP(D128,Products!$B$2:$B$21,Products!$C$2:$C$21,,0)</f>
        <v>18164</v>
      </c>
      <c r="F128" s="4">
        <f t="shared" si="1"/>
        <v>54492</v>
      </c>
    </row>
    <row r="129" spans="1:6" x14ac:dyDescent="0.3">
      <c r="A129" s="1">
        <v>5128</v>
      </c>
      <c r="B129" s="1">
        <v>15</v>
      </c>
      <c r="C129" s="4">
        <v>2</v>
      </c>
      <c r="D129" s="1" t="str">
        <f>_xlfn.XLOOKUP(B129,Products!$A$2:$A$21,Products!$B$2:$B$21,,0)</f>
        <v>Bag</v>
      </c>
      <c r="E129" s="1">
        <f>_xlfn.XLOOKUP(D129,Products!$B$2:$B$21,Products!$C$2:$C$21,,0)</f>
        <v>12567</v>
      </c>
      <c r="F129" s="4">
        <f t="shared" si="1"/>
        <v>25134</v>
      </c>
    </row>
    <row r="130" spans="1:6" x14ac:dyDescent="0.3">
      <c r="A130" s="1">
        <v>5129</v>
      </c>
      <c r="B130" s="1">
        <v>3</v>
      </c>
      <c r="C130" s="4">
        <v>2</v>
      </c>
      <c r="D130" s="1" t="str">
        <f>_xlfn.XLOOKUP(B130,Products!$A$2:$A$21,Products!$B$2:$B$21,,0)</f>
        <v>Keyboard</v>
      </c>
      <c r="E130" s="1">
        <f>_xlfn.XLOOKUP(D130,Products!$B$2:$B$21,Products!$C$2:$C$21,,0)</f>
        <v>26587</v>
      </c>
      <c r="F130" s="4">
        <f t="shared" si="1"/>
        <v>53174</v>
      </c>
    </row>
    <row r="131" spans="1:6" x14ac:dyDescent="0.3">
      <c r="A131" s="1">
        <v>5130</v>
      </c>
      <c r="B131" s="1">
        <v>3</v>
      </c>
      <c r="C131" s="4">
        <v>3</v>
      </c>
      <c r="D131" s="1" t="str">
        <f>_xlfn.XLOOKUP(B131,Products!$A$2:$A$21,Products!$B$2:$B$21,,0)</f>
        <v>Keyboard</v>
      </c>
      <c r="E131" s="1">
        <f>_xlfn.XLOOKUP(D131,Products!$B$2:$B$21,Products!$C$2:$C$21,,0)</f>
        <v>26587</v>
      </c>
      <c r="F131" s="4">
        <f t="shared" ref="F131:F194" si="2">C131*E131</f>
        <v>79761</v>
      </c>
    </row>
    <row r="132" spans="1:6" x14ac:dyDescent="0.3">
      <c r="A132" s="1">
        <v>5131</v>
      </c>
      <c r="B132" s="1">
        <v>4</v>
      </c>
      <c r="C132" s="4">
        <v>4</v>
      </c>
      <c r="D132" s="1" t="str">
        <f>_xlfn.XLOOKUP(B132,Products!$A$2:$A$21,Products!$B$2:$B$21,,0)</f>
        <v>Monitor</v>
      </c>
      <c r="E132" s="1">
        <f>_xlfn.XLOOKUP(D132,Products!$B$2:$B$21,Products!$C$2:$C$21,,0)</f>
        <v>30181</v>
      </c>
      <c r="F132" s="4">
        <f t="shared" si="2"/>
        <v>120724</v>
      </c>
    </row>
    <row r="133" spans="1:6" x14ac:dyDescent="0.3">
      <c r="A133" s="1">
        <v>5132</v>
      </c>
      <c r="B133" s="1">
        <v>16</v>
      </c>
      <c r="C133" s="4">
        <v>5</v>
      </c>
      <c r="D133" s="1" t="str">
        <f>_xlfn.XLOOKUP(B133,Products!$A$2:$A$21,Products!$B$2:$B$21,,0)</f>
        <v>Watch</v>
      </c>
      <c r="E133" s="1">
        <f>_xlfn.XLOOKUP(D133,Products!$B$2:$B$21,Products!$C$2:$C$21,,0)</f>
        <v>21553</v>
      </c>
      <c r="F133" s="4">
        <f t="shared" si="2"/>
        <v>107765</v>
      </c>
    </row>
    <row r="134" spans="1:6" x14ac:dyDescent="0.3">
      <c r="A134" s="1">
        <v>5133</v>
      </c>
      <c r="B134" s="1">
        <v>13</v>
      </c>
      <c r="C134" s="4">
        <v>5</v>
      </c>
      <c r="D134" s="1" t="str">
        <f>_xlfn.XLOOKUP(B134,Products!$A$2:$A$21,Products!$B$2:$B$21,,0)</f>
        <v>Pen</v>
      </c>
      <c r="E134" s="1">
        <f>_xlfn.XLOOKUP(D134,Products!$B$2:$B$21,Products!$C$2:$C$21,,0)</f>
        <v>3900</v>
      </c>
      <c r="F134" s="4">
        <f t="shared" si="2"/>
        <v>19500</v>
      </c>
    </row>
    <row r="135" spans="1:6" x14ac:dyDescent="0.3">
      <c r="A135" s="1">
        <v>5134</v>
      </c>
      <c r="B135" s="1">
        <v>14</v>
      </c>
      <c r="C135" s="4">
        <v>5</v>
      </c>
      <c r="D135" s="1" t="str">
        <f>_xlfn.XLOOKUP(B135,Products!$A$2:$A$21,Products!$B$2:$B$21,,0)</f>
        <v>Book</v>
      </c>
      <c r="E135" s="1">
        <f>_xlfn.XLOOKUP(D135,Products!$B$2:$B$21,Products!$C$2:$C$21,,0)</f>
        <v>23213</v>
      </c>
      <c r="F135" s="4">
        <f t="shared" si="2"/>
        <v>116065</v>
      </c>
    </row>
    <row r="136" spans="1:6" x14ac:dyDescent="0.3">
      <c r="A136" s="1">
        <v>5135</v>
      </c>
      <c r="B136" s="1">
        <v>19</v>
      </c>
      <c r="C136" s="4">
        <v>1</v>
      </c>
      <c r="D136" s="1" t="str">
        <f>_xlfn.XLOOKUP(B136,Products!$A$2:$A$21,Products!$B$2:$B$21,,0)</f>
        <v>Router</v>
      </c>
      <c r="E136" s="1">
        <f>_xlfn.XLOOKUP(D136,Products!$B$2:$B$21,Products!$C$2:$C$21,,0)</f>
        <v>37165</v>
      </c>
      <c r="F136" s="4">
        <f t="shared" si="2"/>
        <v>37165</v>
      </c>
    </row>
    <row r="137" spans="1:6" x14ac:dyDescent="0.3">
      <c r="A137" s="1">
        <v>5136</v>
      </c>
      <c r="B137" s="1">
        <v>12</v>
      </c>
      <c r="C137" s="4">
        <v>4</v>
      </c>
      <c r="D137" s="1" t="str">
        <f>_xlfn.XLOOKUP(B137,Products!$A$2:$A$21,Products!$B$2:$B$21,,0)</f>
        <v>AC</v>
      </c>
      <c r="E137" s="1">
        <f>_xlfn.XLOOKUP(D137,Products!$B$2:$B$21,Products!$C$2:$C$21,,0)</f>
        <v>32456</v>
      </c>
      <c r="F137" s="4">
        <f t="shared" si="2"/>
        <v>129824</v>
      </c>
    </row>
    <row r="138" spans="1:6" x14ac:dyDescent="0.3">
      <c r="A138" s="1">
        <v>5137</v>
      </c>
      <c r="B138" s="1">
        <v>19</v>
      </c>
      <c r="C138" s="4">
        <v>1</v>
      </c>
      <c r="D138" s="1" t="str">
        <f>_xlfn.XLOOKUP(B138,Products!$A$2:$A$21,Products!$B$2:$B$21,,0)</f>
        <v>Router</v>
      </c>
      <c r="E138" s="1">
        <f>_xlfn.XLOOKUP(D138,Products!$B$2:$B$21,Products!$C$2:$C$21,,0)</f>
        <v>37165</v>
      </c>
      <c r="F138" s="4">
        <f t="shared" si="2"/>
        <v>37165</v>
      </c>
    </row>
    <row r="139" spans="1:6" x14ac:dyDescent="0.3">
      <c r="A139" s="1">
        <v>5138</v>
      </c>
      <c r="B139" s="1">
        <v>17</v>
      </c>
      <c r="C139" s="4">
        <v>1</v>
      </c>
      <c r="D139" s="1" t="str">
        <f>_xlfn.XLOOKUP(B139,Products!$A$2:$A$21,Products!$B$2:$B$21,,0)</f>
        <v>TV</v>
      </c>
      <c r="E139" s="1">
        <f>_xlfn.XLOOKUP(D139,Products!$B$2:$B$21,Products!$C$2:$C$21,,0)</f>
        <v>25434</v>
      </c>
      <c r="F139" s="4">
        <f t="shared" si="2"/>
        <v>25434</v>
      </c>
    </row>
    <row r="140" spans="1:6" x14ac:dyDescent="0.3">
      <c r="A140" s="1">
        <v>5139</v>
      </c>
      <c r="B140" s="1">
        <v>7</v>
      </c>
      <c r="C140" s="4">
        <v>2</v>
      </c>
      <c r="D140" s="1" t="str">
        <f>_xlfn.XLOOKUP(B140,Products!$A$2:$A$21,Products!$B$2:$B$21,,0)</f>
        <v>Camera</v>
      </c>
      <c r="E140" s="1">
        <f>_xlfn.XLOOKUP(D140,Products!$B$2:$B$21,Products!$C$2:$C$21,,0)</f>
        <v>34857</v>
      </c>
      <c r="F140" s="4">
        <f t="shared" si="2"/>
        <v>69714</v>
      </c>
    </row>
    <row r="141" spans="1:6" x14ac:dyDescent="0.3">
      <c r="A141" s="1">
        <v>5140</v>
      </c>
      <c r="B141" s="1">
        <v>8</v>
      </c>
      <c r="C141" s="4">
        <v>2</v>
      </c>
      <c r="D141" s="1" t="str">
        <f>_xlfn.XLOOKUP(B141,Products!$A$2:$A$21,Products!$B$2:$B$21,,0)</f>
        <v>Printer</v>
      </c>
      <c r="E141" s="1">
        <f>_xlfn.XLOOKUP(D141,Products!$B$2:$B$21,Products!$C$2:$C$21,,0)</f>
        <v>31589</v>
      </c>
      <c r="F141" s="4">
        <f t="shared" si="2"/>
        <v>63178</v>
      </c>
    </row>
    <row r="142" spans="1:6" x14ac:dyDescent="0.3">
      <c r="A142" s="1">
        <v>5141</v>
      </c>
      <c r="B142" s="1">
        <v>17</v>
      </c>
      <c r="C142" s="4">
        <v>2</v>
      </c>
      <c r="D142" s="1" t="str">
        <f>_xlfn.XLOOKUP(B142,Products!$A$2:$A$21,Products!$B$2:$B$21,,0)</f>
        <v>TV</v>
      </c>
      <c r="E142" s="1">
        <f>_xlfn.XLOOKUP(D142,Products!$B$2:$B$21,Products!$C$2:$C$21,,0)</f>
        <v>25434</v>
      </c>
      <c r="F142" s="4">
        <f t="shared" si="2"/>
        <v>50868</v>
      </c>
    </row>
    <row r="143" spans="1:6" x14ac:dyDescent="0.3">
      <c r="A143" s="1">
        <v>5142</v>
      </c>
      <c r="B143" s="1">
        <v>4</v>
      </c>
      <c r="C143" s="4">
        <v>2</v>
      </c>
      <c r="D143" s="1" t="str">
        <f>_xlfn.XLOOKUP(B143,Products!$A$2:$A$21,Products!$B$2:$B$21,,0)</f>
        <v>Monitor</v>
      </c>
      <c r="E143" s="1">
        <f>_xlfn.XLOOKUP(D143,Products!$B$2:$B$21,Products!$C$2:$C$21,,0)</f>
        <v>30181</v>
      </c>
      <c r="F143" s="4">
        <f t="shared" si="2"/>
        <v>60362</v>
      </c>
    </row>
    <row r="144" spans="1:6" x14ac:dyDescent="0.3">
      <c r="A144" s="1">
        <v>5143</v>
      </c>
      <c r="B144" s="1">
        <v>14</v>
      </c>
      <c r="C144" s="4">
        <v>1</v>
      </c>
      <c r="D144" s="1" t="str">
        <f>_xlfn.XLOOKUP(B144,Products!$A$2:$A$21,Products!$B$2:$B$21,,0)</f>
        <v>Book</v>
      </c>
      <c r="E144" s="1">
        <f>_xlfn.XLOOKUP(D144,Products!$B$2:$B$21,Products!$C$2:$C$21,,0)</f>
        <v>23213</v>
      </c>
      <c r="F144" s="4">
        <f t="shared" si="2"/>
        <v>23213</v>
      </c>
    </row>
    <row r="145" spans="1:6" x14ac:dyDescent="0.3">
      <c r="A145" s="1">
        <v>5144</v>
      </c>
      <c r="B145" s="1">
        <v>4</v>
      </c>
      <c r="C145" s="4">
        <v>1</v>
      </c>
      <c r="D145" s="1" t="str">
        <f>_xlfn.XLOOKUP(B145,Products!$A$2:$A$21,Products!$B$2:$B$21,,0)</f>
        <v>Monitor</v>
      </c>
      <c r="E145" s="1">
        <f>_xlfn.XLOOKUP(D145,Products!$B$2:$B$21,Products!$C$2:$C$21,,0)</f>
        <v>30181</v>
      </c>
      <c r="F145" s="4">
        <f t="shared" si="2"/>
        <v>30181</v>
      </c>
    </row>
    <row r="146" spans="1:6" x14ac:dyDescent="0.3">
      <c r="A146" s="1">
        <v>5145</v>
      </c>
      <c r="B146" s="1">
        <v>8</v>
      </c>
      <c r="C146" s="4">
        <v>2</v>
      </c>
      <c r="D146" s="1" t="str">
        <f>_xlfn.XLOOKUP(B146,Products!$A$2:$A$21,Products!$B$2:$B$21,,0)</f>
        <v>Printer</v>
      </c>
      <c r="E146" s="1">
        <f>_xlfn.XLOOKUP(D146,Products!$B$2:$B$21,Products!$C$2:$C$21,,0)</f>
        <v>31589</v>
      </c>
      <c r="F146" s="4">
        <f t="shared" si="2"/>
        <v>63178</v>
      </c>
    </row>
    <row r="147" spans="1:6" x14ac:dyDescent="0.3">
      <c r="A147" s="1">
        <v>5146</v>
      </c>
      <c r="B147" s="1">
        <v>15</v>
      </c>
      <c r="C147" s="4">
        <v>1</v>
      </c>
      <c r="D147" s="1" t="str">
        <f>_xlfn.XLOOKUP(B147,Products!$A$2:$A$21,Products!$B$2:$B$21,,0)</f>
        <v>Bag</v>
      </c>
      <c r="E147" s="1">
        <f>_xlfn.XLOOKUP(D147,Products!$B$2:$B$21,Products!$C$2:$C$21,,0)</f>
        <v>12567</v>
      </c>
      <c r="F147" s="4">
        <f t="shared" si="2"/>
        <v>12567</v>
      </c>
    </row>
    <row r="148" spans="1:6" x14ac:dyDescent="0.3">
      <c r="A148" s="1">
        <v>5147</v>
      </c>
      <c r="B148" s="1">
        <v>18</v>
      </c>
      <c r="C148" s="4">
        <v>3</v>
      </c>
      <c r="D148" s="1" t="str">
        <f>_xlfn.XLOOKUP(B148,Products!$A$2:$A$21,Products!$B$2:$B$21,,0)</f>
        <v>Speaker</v>
      </c>
      <c r="E148" s="1">
        <f>_xlfn.XLOOKUP(D148,Products!$B$2:$B$21,Products!$C$2:$C$21,,0)</f>
        <v>28829</v>
      </c>
      <c r="F148" s="4">
        <f t="shared" si="2"/>
        <v>86487</v>
      </c>
    </row>
    <row r="149" spans="1:6" x14ac:dyDescent="0.3">
      <c r="A149" s="1">
        <v>5148</v>
      </c>
      <c r="B149" s="1">
        <v>20</v>
      </c>
      <c r="C149" s="4">
        <v>3</v>
      </c>
      <c r="D149" s="1" t="str">
        <f>_xlfn.XLOOKUP(B149,Products!$A$2:$A$21,Products!$B$2:$B$21,,0)</f>
        <v>SSD</v>
      </c>
      <c r="E149" s="1">
        <f>_xlfn.XLOOKUP(D149,Products!$B$2:$B$21,Products!$C$2:$C$21,,0)</f>
        <v>10724</v>
      </c>
      <c r="F149" s="4">
        <f t="shared" si="2"/>
        <v>32172</v>
      </c>
    </row>
    <row r="150" spans="1:6" x14ac:dyDescent="0.3">
      <c r="A150" s="1">
        <v>5149</v>
      </c>
      <c r="B150" s="1">
        <v>1</v>
      </c>
      <c r="C150" s="4">
        <v>1</v>
      </c>
      <c r="D150" s="1" t="str">
        <f>_xlfn.XLOOKUP(B150,Products!$A$2:$A$21,Products!$B$2:$B$21,,0)</f>
        <v>Laptop</v>
      </c>
      <c r="E150" s="1">
        <f>_xlfn.XLOOKUP(D150,Products!$B$2:$B$21,Products!$C$2:$C$21,,0)</f>
        <v>34130</v>
      </c>
      <c r="F150" s="4">
        <f t="shared" si="2"/>
        <v>34130</v>
      </c>
    </row>
    <row r="151" spans="1:6" x14ac:dyDescent="0.3">
      <c r="A151" s="1">
        <v>5150</v>
      </c>
      <c r="B151" s="1">
        <v>12</v>
      </c>
      <c r="C151" s="4">
        <v>2</v>
      </c>
      <c r="D151" s="1" t="str">
        <f>_xlfn.XLOOKUP(B151,Products!$A$2:$A$21,Products!$B$2:$B$21,,0)</f>
        <v>AC</v>
      </c>
      <c r="E151" s="1">
        <f>_xlfn.XLOOKUP(D151,Products!$B$2:$B$21,Products!$C$2:$C$21,,0)</f>
        <v>32456</v>
      </c>
      <c r="F151" s="4">
        <f t="shared" si="2"/>
        <v>64912</v>
      </c>
    </row>
    <row r="152" spans="1:6" x14ac:dyDescent="0.3">
      <c r="A152" s="1">
        <v>5151</v>
      </c>
      <c r="B152" s="1">
        <v>20</v>
      </c>
      <c r="C152" s="4">
        <v>3</v>
      </c>
      <c r="D152" s="1" t="str">
        <f>_xlfn.XLOOKUP(B152,Products!$A$2:$A$21,Products!$B$2:$B$21,,0)</f>
        <v>SSD</v>
      </c>
      <c r="E152" s="1">
        <f>_xlfn.XLOOKUP(D152,Products!$B$2:$B$21,Products!$C$2:$C$21,,0)</f>
        <v>10724</v>
      </c>
      <c r="F152" s="4">
        <f t="shared" si="2"/>
        <v>32172</v>
      </c>
    </row>
    <row r="153" spans="1:6" x14ac:dyDescent="0.3">
      <c r="A153" s="1">
        <v>5152</v>
      </c>
      <c r="B153" s="1">
        <v>18</v>
      </c>
      <c r="C153" s="4">
        <v>5</v>
      </c>
      <c r="D153" s="1" t="str">
        <f>_xlfn.XLOOKUP(B153,Products!$A$2:$A$21,Products!$B$2:$B$21,,0)</f>
        <v>Speaker</v>
      </c>
      <c r="E153" s="1">
        <f>_xlfn.XLOOKUP(D153,Products!$B$2:$B$21,Products!$C$2:$C$21,,0)</f>
        <v>28829</v>
      </c>
      <c r="F153" s="4">
        <f t="shared" si="2"/>
        <v>144145</v>
      </c>
    </row>
    <row r="154" spans="1:6" x14ac:dyDescent="0.3">
      <c r="A154" s="1">
        <v>5153</v>
      </c>
      <c r="B154" s="1">
        <v>20</v>
      </c>
      <c r="C154" s="4">
        <v>4</v>
      </c>
      <c r="D154" s="1" t="str">
        <f>_xlfn.XLOOKUP(B154,Products!$A$2:$A$21,Products!$B$2:$B$21,,0)</f>
        <v>SSD</v>
      </c>
      <c r="E154" s="1">
        <f>_xlfn.XLOOKUP(D154,Products!$B$2:$B$21,Products!$C$2:$C$21,,0)</f>
        <v>10724</v>
      </c>
      <c r="F154" s="4">
        <f t="shared" si="2"/>
        <v>42896</v>
      </c>
    </row>
    <row r="155" spans="1:6" x14ac:dyDescent="0.3">
      <c r="A155" s="1">
        <v>5154</v>
      </c>
      <c r="B155" s="1">
        <v>14</v>
      </c>
      <c r="C155" s="4">
        <v>3</v>
      </c>
      <c r="D155" s="1" t="str">
        <f>_xlfn.XLOOKUP(B155,Products!$A$2:$A$21,Products!$B$2:$B$21,,0)</f>
        <v>Book</v>
      </c>
      <c r="E155" s="1">
        <f>_xlfn.XLOOKUP(D155,Products!$B$2:$B$21,Products!$C$2:$C$21,,0)</f>
        <v>23213</v>
      </c>
      <c r="F155" s="4">
        <f t="shared" si="2"/>
        <v>69639</v>
      </c>
    </row>
    <row r="156" spans="1:6" x14ac:dyDescent="0.3">
      <c r="A156" s="1">
        <v>5155</v>
      </c>
      <c r="B156" s="1">
        <v>12</v>
      </c>
      <c r="C156" s="4">
        <v>3</v>
      </c>
      <c r="D156" s="1" t="str">
        <f>_xlfn.XLOOKUP(B156,Products!$A$2:$A$21,Products!$B$2:$B$21,,0)</f>
        <v>AC</v>
      </c>
      <c r="E156" s="1">
        <f>_xlfn.XLOOKUP(D156,Products!$B$2:$B$21,Products!$C$2:$C$21,,0)</f>
        <v>32456</v>
      </c>
      <c r="F156" s="4">
        <f t="shared" si="2"/>
        <v>97368</v>
      </c>
    </row>
    <row r="157" spans="1:6" x14ac:dyDescent="0.3">
      <c r="A157" s="1">
        <v>5156</v>
      </c>
      <c r="B157" s="1">
        <v>1</v>
      </c>
      <c r="C157" s="4">
        <v>5</v>
      </c>
      <c r="D157" s="1" t="str">
        <f>_xlfn.XLOOKUP(B157,Products!$A$2:$A$21,Products!$B$2:$B$21,,0)</f>
        <v>Laptop</v>
      </c>
      <c r="E157" s="1">
        <f>_xlfn.XLOOKUP(D157,Products!$B$2:$B$21,Products!$C$2:$C$21,,0)</f>
        <v>34130</v>
      </c>
      <c r="F157" s="4">
        <f t="shared" si="2"/>
        <v>170650</v>
      </c>
    </row>
    <row r="158" spans="1:6" x14ac:dyDescent="0.3">
      <c r="A158" s="1">
        <v>5157</v>
      </c>
      <c r="B158" s="1">
        <v>10</v>
      </c>
      <c r="C158" s="4">
        <v>1</v>
      </c>
      <c r="D158" s="1" t="str">
        <f>_xlfn.XLOOKUP(B158,Products!$A$2:$A$21,Products!$B$2:$B$21,,0)</f>
        <v>Chair</v>
      </c>
      <c r="E158" s="1">
        <f>_xlfn.XLOOKUP(D158,Products!$B$2:$B$21,Products!$C$2:$C$21,,0)</f>
        <v>18164</v>
      </c>
      <c r="F158" s="4">
        <f t="shared" si="2"/>
        <v>18164</v>
      </c>
    </row>
    <row r="159" spans="1:6" x14ac:dyDescent="0.3">
      <c r="A159" s="1">
        <v>5158</v>
      </c>
      <c r="B159" s="1">
        <v>1</v>
      </c>
      <c r="C159" s="4">
        <v>3</v>
      </c>
      <c r="D159" s="1" t="str">
        <f>_xlfn.XLOOKUP(B159,Products!$A$2:$A$21,Products!$B$2:$B$21,,0)</f>
        <v>Laptop</v>
      </c>
      <c r="E159" s="1">
        <f>_xlfn.XLOOKUP(D159,Products!$B$2:$B$21,Products!$C$2:$C$21,,0)</f>
        <v>34130</v>
      </c>
      <c r="F159" s="4">
        <f t="shared" si="2"/>
        <v>102390</v>
      </c>
    </row>
    <row r="160" spans="1:6" x14ac:dyDescent="0.3">
      <c r="A160" s="1">
        <v>5159</v>
      </c>
      <c r="B160" s="1">
        <v>8</v>
      </c>
      <c r="C160" s="4">
        <v>3</v>
      </c>
      <c r="D160" s="1" t="str">
        <f>_xlfn.XLOOKUP(B160,Products!$A$2:$A$21,Products!$B$2:$B$21,,0)</f>
        <v>Printer</v>
      </c>
      <c r="E160" s="1">
        <f>_xlfn.XLOOKUP(D160,Products!$B$2:$B$21,Products!$C$2:$C$21,,0)</f>
        <v>31589</v>
      </c>
      <c r="F160" s="4">
        <f t="shared" si="2"/>
        <v>94767</v>
      </c>
    </row>
    <row r="161" spans="1:6" x14ac:dyDescent="0.3">
      <c r="A161" s="1">
        <v>5160</v>
      </c>
      <c r="B161" s="1">
        <v>1</v>
      </c>
      <c r="C161" s="4">
        <v>3</v>
      </c>
      <c r="D161" s="1" t="str">
        <f>_xlfn.XLOOKUP(B161,Products!$A$2:$A$21,Products!$B$2:$B$21,,0)</f>
        <v>Laptop</v>
      </c>
      <c r="E161" s="1">
        <f>_xlfn.XLOOKUP(D161,Products!$B$2:$B$21,Products!$C$2:$C$21,,0)</f>
        <v>34130</v>
      </c>
      <c r="F161" s="4">
        <f t="shared" si="2"/>
        <v>102390</v>
      </c>
    </row>
    <row r="162" spans="1:6" x14ac:dyDescent="0.3">
      <c r="A162" s="1">
        <v>5161</v>
      </c>
      <c r="B162" s="1">
        <v>18</v>
      </c>
      <c r="C162" s="4">
        <v>2</v>
      </c>
      <c r="D162" s="1" t="str">
        <f>_xlfn.XLOOKUP(B162,Products!$A$2:$A$21,Products!$B$2:$B$21,,0)</f>
        <v>Speaker</v>
      </c>
      <c r="E162" s="1">
        <f>_xlfn.XLOOKUP(D162,Products!$B$2:$B$21,Products!$C$2:$C$21,,0)</f>
        <v>28829</v>
      </c>
      <c r="F162" s="4">
        <f t="shared" si="2"/>
        <v>57658</v>
      </c>
    </row>
    <row r="163" spans="1:6" x14ac:dyDescent="0.3">
      <c r="A163" s="1">
        <v>5162</v>
      </c>
      <c r="B163" s="1">
        <v>8</v>
      </c>
      <c r="C163" s="4">
        <v>3</v>
      </c>
      <c r="D163" s="1" t="str">
        <f>_xlfn.XLOOKUP(B163,Products!$A$2:$A$21,Products!$B$2:$B$21,,0)</f>
        <v>Printer</v>
      </c>
      <c r="E163" s="1">
        <f>_xlfn.XLOOKUP(D163,Products!$B$2:$B$21,Products!$C$2:$C$21,,0)</f>
        <v>31589</v>
      </c>
      <c r="F163" s="4">
        <f t="shared" si="2"/>
        <v>94767</v>
      </c>
    </row>
    <row r="164" spans="1:6" x14ac:dyDescent="0.3">
      <c r="A164" s="1">
        <v>5163</v>
      </c>
      <c r="B164" s="1">
        <v>19</v>
      </c>
      <c r="C164" s="4">
        <v>1</v>
      </c>
      <c r="D164" s="1" t="str">
        <f>_xlfn.XLOOKUP(B164,Products!$A$2:$A$21,Products!$B$2:$B$21,,0)</f>
        <v>Router</v>
      </c>
      <c r="E164" s="1">
        <f>_xlfn.XLOOKUP(D164,Products!$B$2:$B$21,Products!$C$2:$C$21,,0)</f>
        <v>37165</v>
      </c>
      <c r="F164" s="4">
        <f t="shared" si="2"/>
        <v>37165</v>
      </c>
    </row>
    <row r="165" spans="1:6" x14ac:dyDescent="0.3">
      <c r="A165" s="1">
        <v>5164</v>
      </c>
      <c r="B165" s="1">
        <v>10</v>
      </c>
      <c r="C165" s="4">
        <v>2</v>
      </c>
      <c r="D165" s="1" t="str">
        <f>_xlfn.XLOOKUP(B165,Products!$A$2:$A$21,Products!$B$2:$B$21,,0)</f>
        <v>Chair</v>
      </c>
      <c r="E165" s="1">
        <f>_xlfn.XLOOKUP(D165,Products!$B$2:$B$21,Products!$C$2:$C$21,,0)</f>
        <v>18164</v>
      </c>
      <c r="F165" s="4">
        <f t="shared" si="2"/>
        <v>36328</v>
      </c>
    </row>
    <row r="166" spans="1:6" x14ac:dyDescent="0.3">
      <c r="A166" s="1">
        <v>5165</v>
      </c>
      <c r="B166" s="1">
        <v>10</v>
      </c>
      <c r="C166" s="4">
        <v>1</v>
      </c>
      <c r="D166" s="1" t="str">
        <f>_xlfn.XLOOKUP(B166,Products!$A$2:$A$21,Products!$B$2:$B$21,,0)</f>
        <v>Chair</v>
      </c>
      <c r="E166" s="1">
        <f>_xlfn.XLOOKUP(D166,Products!$B$2:$B$21,Products!$C$2:$C$21,,0)</f>
        <v>18164</v>
      </c>
      <c r="F166" s="4">
        <f t="shared" si="2"/>
        <v>18164</v>
      </c>
    </row>
    <row r="167" spans="1:6" x14ac:dyDescent="0.3">
      <c r="A167" s="1">
        <v>5166</v>
      </c>
      <c r="B167" s="1">
        <v>9</v>
      </c>
      <c r="C167" s="4">
        <v>3</v>
      </c>
      <c r="D167" s="1" t="str">
        <f>_xlfn.XLOOKUP(B167,Products!$A$2:$A$21,Products!$B$2:$B$21,,0)</f>
        <v>Desk</v>
      </c>
      <c r="E167" s="1">
        <f>_xlfn.XLOOKUP(D167,Products!$B$2:$B$21,Products!$C$2:$C$21,,0)</f>
        <v>15870</v>
      </c>
      <c r="F167" s="4">
        <f t="shared" si="2"/>
        <v>47610</v>
      </c>
    </row>
    <row r="168" spans="1:6" x14ac:dyDescent="0.3">
      <c r="A168" s="1">
        <v>5167</v>
      </c>
      <c r="B168" s="1">
        <v>18</v>
      </c>
      <c r="C168" s="4">
        <v>5</v>
      </c>
      <c r="D168" s="1" t="str">
        <f>_xlfn.XLOOKUP(B168,Products!$A$2:$A$21,Products!$B$2:$B$21,,0)</f>
        <v>Speaker</v>
      </c>
      <c r="E168" s="1">
        <f>_xlfn.XLOOKUP(D168,Products!$B$2:$B$21,Products!$C$2:$C$21,,0)</f>
        <v>28829</v>
      </c>
      <c r="F168" s="4">
        <f t="shared" si="2"/>
        <v>144145</v>
      </c>
    </row>
    <row r="169" spans="1:6" x14ac:dyDescent="0.3">
      <c r="A169" s="1">
        <v>5168</v>
      </c>
      <c r="B169" s="1">
        <v>9</v>
      </c>
      <c r="C169" s="4">
        <v>1</v>
      </c>
      <c r="D169" s="1" t="str">
        <f>_xlfn.XLOOKUP(B169,Products!$A$2:$A$21,Products!$B$2:$B$21,,0)</f>
        <v>Desk</v>
      </c>
      <c r="E169" s="1">
        <f>_xlfn.XLOOKUP(D169,Products!$B$2:$B$21,Products!$C$2:$C$21,,0)</f>
        <v>15870</v>
      </c>
      <c r="F169" s="4">
        <f t="shared" si="2"/>
        <v>15870</v>
      </c>
    </row>
    <row r="170" spans="1:6" x14ac:dyDescent="0.3">
      <c r="A170" s="1">
        <v>5169</v>
      </c>
      <c r="B170" s="1">
        <v>17</v>
      </c>
      <c r="C170" s="4">
        <v>2</v>
      </c>
      <c r="D170" s="1" t="str">
        <f>_xlfn.XLOOKUP(B170,Products!$A$2:$A$21,Products!$B$2:$B$21,,0)</f>
        <v>TV</v>
      </c>
      <c r="E170" s="1">
        <f>_xlfn.XLOOKUP(D170,Products!$B$2:$B$21,Products!$C$2:$C$21,,0)</f>
        <v>25434</v>
      </c>
      <c r="F170" s="4">
        <f t="shared" si="2"/>
        <v>50868</v>
      </c>
    </row>
    <row r="171" spans="1:6" x14ac:dyDescent="0.3">
      <c r="A171" s="1">
        <v>5170</v>
      </c>
      <c r="B171" s="1">
        <v>19</v>
      </c>
      <c r="C171" s="4">
        <v>4</v>
      </c>
      <c r="D171" s="1" t="str">
        <f>_xlfn.XLOOKUP(B171,Products!$A$2:$A$21,Products!$B$2:$B$21,,0)</f>
        <v>Router</v>
      </c>
      <c r="E171" s="1">
        <f>_xlfn.XLOOKUP(D171,Products!$B$2:$B$21,Products!$C$2:$C$21,,0)</f>
        <v>37165</v>
      </c>
      <c r="F171" s="4">
        <f t="shared" si="2"/>
        <v>148660</v>
      </c>
    </row>
    <row r="172" spans="1:6" x14ac:dyDescent="0.3">
      <c r="A172" s="1">
        <v>5171</v>
      </c>
      <c r="B172" s="1">
        <v>18</v>
      </c>
      <c r="C172" s="4">
        <v>5</v>
      </c>
      <c r="D172" s="1" t="str">
        <f>_xlfn.XLOOKUP(B172,Products!$A$2:$A$21,Products!$B$2:$B$21,,0)</f>
        <v>Speaker</v>
      </c>
      <c r="E172" s="1">
        <f>_xlfn.XLOOKUP(D172,Products!$B$2:$B$21,Products!$C$2:$C$21,,0)</f>
        <v>28829</v>
      </c>
      <c r="F172" s="4">
        <f t="shared" si="2"/>
        <v>144145</v>
      </c>
    </row>
    <row r="173" spans="1:6" x14ac:dyDescent="0.3">
      <c r="A173" s="1">
        <v>5172</v>
      </c>
      <c r="B173" s="1">
        <v>16</v>
      </c>
      <c r="C173" s="4">
        <v>4</v>
      </c>
      <c r="D173" s="1" t="str">
        <f>_xlfn.XLOOKUP(B173,Products!$A$2:$A$21,Products!$B$2:$B$21,,0)</f>
        <v>Watch</v>
      </c>
      <c r="E173" s="1">
        <f>_xlfn.XLOOKUP(D173,Products!$B$2:$B$21,Products!$C$2:$C$21,,0)</f>
        <v>21553</v>
      </c>
      <c r="F173" s="4">
        <f t="shared" si="2"/>
        <v>86212</v>
      </c>
    </row>
    <row r="174" spans="1:6" x14ac:dyDescent="0.3">
      <c r="A174" s="1">
        <v>5173</v>
      </c>
      <c r="B174" s="1">
        <v>10</v>
      </c>
      <c r="C174" s="4">
        <v>5</v>
      </c>
      <c r="D174" s="1" t="str">
        <f>_xlfn.XLOOKUP(B174,Products!$A$2:$A$21,Products!$B$2:$B$21,,0)</f>
        <v>Chair</v>
      </c>
      <c r="E174" s="1">
        <f>_xlfn.XLOOKUP(D174,Products!$B$2:$B$21,Products!$C$2:$C$21,,0)</f>
        <v>18164</v>
      </c>
      <c r="F174" s="4">
        <f t="shared" si="2"/>
        <v>90820</v>
      </c>
    </row>
    <row r="175" spans="1:6" x14ac:dyDescent="0.3">
      <c r="A175" s="1">
        <v>5174</v>
      </c>
      <c r="B175" s="1">
        <v>19</v>
      </c>
      <c r="C175" s="4">
        <v>1</v>
      </c>
      <c r="D175" s="1" t="str">
        <f>_xlfn.XLOOKUP(B175,Products!$A$2:$A$21,Products!$B$2:$B$21,,0)</f>
        <v>Router</v>
      </c>
      <c r="E175" s="1">
        <f>_xlfn.XLOOKUP(D175,Products!$B$2:$B$21,Products!$C$2:$C$21,,0)</f>
        <v>37165</v>
      </c>
      <c r="F175" s="4">
        <f t="shared" si="2"/>
        <v>37165</v>
      </c>
    </row>
    <row r="176" spans="1:6" x14ac:dyDescent="0.3">
      <c r="A176" s="1">
        <v>5175</v>
      </c>
      <c r="B176" s="1">
        <v>1</v>
      </c>
      <c r="C176" s="4">
        <v>3</v>
      </c>
      <c r="D176" s="1" t="str">
        <f>_xlfn.XLOOKUP(B176,Products!$A$2:$A$21,Products!$B$2:$B$21,,0)</f>
        <v>Laptop</v>
      </c>
      <c r="E176" s="1">
        <f>_xlfn.XLOOKUP(D176,Products!$B$2:$B$21,Products!$C$2:$C$21,,0)</f>
        <v>34130</v>
      </c>
      <c r="F176" s="4">
        <f t="shared" si="2"/>
        <v>102390</v>
      </c>
    </row>
    <row r="177" spans="1:6" x14ac:dyDescent="0.3">
      <c r="A177" s="1">
        <v>5176</v>
      </c>
      <c r="B177" s="1">
        <v>8</v>
      </c>
      <c r="C177" s="4">
        <v>1</v>
      </c>
      <c r="D177" s="1" t="str">
        <f>_xlfn.XLOOKUP(B177,Products!$A$2:$A$21,Products!$B$2:$B$21,,0)</f>
        <v>Printer</v>
      </c>
      <c r="E177" s="1">
        <f>_xlfn.XLOOKUP(D177,Products!$B$2:$B$21,Products!$C$2:$C$21,,0)</f>
        <v>31589</v>
      </c>
      <c r="F177" s="4">
        <f t="shared" si="2"/>
        <v>31589</v>
      </c>
    </row>
    <row r="178" spans="1:6" x14ac:dyDescent="0.3">
      <c r="A178" s="1">
        <v>5177</v>
      </c>
      <c r="B178" s="1">
        <v>13</v>
      </c>
      <c r="C178" s="4">
        <v>2</v>
      </c>
      <c r="D178" s="1" t="str">
        <f>_xlfn.XLOOKUP(B178,Products!$A$2:$A$21,Products!$B$2:$B$21,,0)</f>
        <v>Pen</v>
      </c>
      <c r="E178" s="1">
        <f>_xlfn.XLOOKUP(D178,Products!$B$2:$B$21,Products!$C$2:$C$21,,0)</f>
        <v>3900</v>
      </c>
      <c r="F178" s="4">
        <f t="shared" si="2"/>
        <v>7800</v>
      </c>
    </row>
    <row r="179" spans="1:6" x14ac:dyDescent="0.3">
      <c r="A179" s="1">
        <v>5178</v>
      </c>
      <c r="B179" s="1">
        <v>15</v>
      </c>
      <c r="C179" s="4">
        <v>4</v>
      </c>
      <c r="D179" s="1" t="str">
        <f>_xlfn.XLOOKUP(B179,Products!$A$2:$A$21,Products!$B$2:$B$21,,0)</f>
        <v>Bag</v>
      </c>
      <c r="E179" s="1">
        <f>_xlfn.XLOOKUP(D179,Products!$B$2:$B$21,Products!$C$2:$C$21,,0)</f>
        <v>12567</v>
      </c>
      <c r="F179" s="4">
        <f t="shared" si="2"/>
        <v>50268</v>
      </c>
    </row>
    <row r="180" spans="1:6" x14ac:dyDescent="0.3">
      <c r="A180" s="1">
        <v>5179</v>
      </c>
      <c r="B180" s="1">
        <v>9</v>
      </c>
      <c r="C180" s="4">
        <v>2</v>
      </c>
      <c r="D180" s="1" t="str">
        <f>_xlfn.XLOOKUP(B180,Products!$A$2:$A$21,Products!$B$2:$B$21,,0)</f>
        <v>Desk</v>
      </c>
      <c r="E180" s="1">
        <f>_xlfn.XLOOKUP(D180,Products!$B$2:$B$21,Products!$C$2:$C$21,,0)</f>
        <v>15870</v>
      </c>
      <c r="F180" s="4">
        <f t="shared" si="2"/>
        <v>31740</v>
      </c>
    </row>
    <row r="181" spans="1:6" x14ac:dyDescent="0.3">
      <c r="A181" s="1">
        <v>5180</v>
      </c>
      <c r="B181" s="1">
        <v>20</v>
      </c>
      <c r="C181" s="4">
        <v>4</v>
      </c>
      <c r="D181" s="1" t="str">
        <f>_xlfn.XLOOKUP(B181,Products!$A$2:$A$21,Products!$B$2:$B$21,,0)</f>
        <v>SSD</v>
      </c>
      <c r="E181" s="1">
        <f>_xlfn.XLOOKUP(D181,Products!$B$2:$B$21,Products!$C$2:$C$21,,0)</f>
        <v>10724</v>
      </c>
      <c r="F181" s="4">
        <f t="shared" si="2"/>
        <v>42896</v>
      </c>
    </row>
    <row r="182" spans="1:6" x14ac:dyDescent="0.3">
      <c r="A182" s="1">
        <v>5181</v>
      </c>
      <c r="B182" s="1">
        <v>18</v>
      </c>
      <c r="C182" s="4">
        <v>4</v>
      </c>
      <c r="D182" s="1" t="str">
        <f>_xlfn.XLOOKUP(B182,Products!$A$2:$A$21,Products!$B$2:$B$21,,0)</f>
        <v>Speaker</v>
      </c>
      <c r="E182" s="1">
        <f>_xlfn.XLOOKUP(D182,Products!$B$2:$B$21,Products!$C$2:$C$21,,0)</f>
        <v>28829</v>
      </c>
      <c r="F182" s="4">
        <f t="shared" si="2"/>
        <v>115316</v>
      </c>
    </row>
    <row r="183" spans="1:6" x14ac:dyDescent="0.3">
      <c r="A183" s="1">
        <v>5182</v>
      </c>
      <c r="B183" s="1">
        <v>19</v>
      </c>
      <c r="C183" s="4">
        <v>5</v>
      </c>
      <c r="D183" s="1" t="str">
        <f>_xlfn.XLOOKUP(B183,Products!$A$2:$A$21,Products!$B$2:$B$21,,0)</f>
        <v>Router</v>
      </c>
      <c r="E183" s="1">
        <f>_xlfn.XLOOKUP(D183,Products!$B$2:$B$21,Products!$C$2:$C$21,,0)</f>
        <v>37165</v>
      </c>
      <c r="F183" s="4">
        <f t="shared" si="2"/>
        <v>185825</v>
      </c>
    </row>
    <row r="184" spans="1:6" x14ac:dyDescent="0.3">
      <c r="A184" s="1">
        <v>5183</v>
      </c>
      <c r="B184" s="1">
        <v>14</v>
      </c>
      <c r="C184" s="4">
        <v>2</v>
      </c>
      <c r="D184" s="1" t="str">
        <f>_xlfn.XLOOKUP(B184,Products!$A$2:$A$21,Products!$B$2:$B$21,,0)</f>
        <v>Book</v>
      </c>
      <c r="E184" s="1">
        <f>_xlfn.XLOOKUP(D184,Products!$B$2:$B$21,Products!$C$2:$C$21,,0)</f>
        <v>23213</v>
      </c>
      <c r="F184" s="4">
        <f t="shared" si="2"/>
        <v>46426</v>
      </c>
    </row>
    <row r="185" spans="1:6" x14ac:dyDescent="0.3">
      <c r="A185" s="1">
        <v>5184</v>
      </c>
      <c r="B185" s="1">
        <v>13</v>
      </c>
      <c r="C185" s="4">
        <v>1</v>
      </c>
      <c r="D185" s="1" t="str">
        <f>_xlfn.XLOOKUP(B185,Products!$A$2:$A$21,Products!$B$2:$B$21,,0)</f>
        <v>Pen</v>
      </c>
      <c r="E185" s="1">
        <f>_xlfn.XLOOKUP(D185,Products!$B$2:$B$21,Products!$C$2:$C$21,,0)</f>
        <v>3900</v>
      </c>
      <c r="F185" s="4">
        <f t="shared" si="2"/>
        <v>3900</v>
      </c>
    </row>
    <row r="186" spans="1:6" x14ac:dyDescent="0.3">
      <c r="A186" s="1">
        <v>5185</v>
      </c>
      <c r="B186" s="1">
        <v>6</v>
      </c>
      <c r="C186" s="4">
        <v>4</v>
      </c>
      <c r="D186" s="1" t="str">
        <f>_xlfn.XLOOKUP(B186,Products!$A$2:$A$21,Products!$B$2:$B$21,,0)</f>
        <v>Phone</v>
      </c>
      <c r="E186" s="1">
        <f>_xlfn.XLOOKUP(D186,Products!$B$2:$B$21,Products!$C$2:$C$21,,0)</f>
        <v>10250</v>
      </c>
      <c r="F186" s="4">
        <f t="shared" si="2"/>
        <v>41000</v>
      </c>
    </row>
    <row r="187" spans="1:6" x14ac:dyDescent="0.3">
      <c r="A187" s="1">
        <v>5186</v>
      </c>
      <c r="B187" s="1">
        <v>14</v>
      </c>
      <c r="C187" s="4">
        <v>4</v>
      </c>
      <c r="D187" s="1" t="str">
        <f>_xlfn.XLOOKUP(B187,Products!$A$2:$A$21,Products!$B$2:$B$21,,0)</f>
        <v>Book</v>
      </c>
      <c r="E187" s="1">
        <f>_xlfn.XLOOKUP(D187,Products!$B$2:$B$21,Products!$C$2:$C$21,,0)</f>
        <v>23213</v>
      </c>
      <c r="F187" s="4">
        <f t="shared" si="2"/>
        <v>92852</v>
      </c>
    </row>
    <row r="188" spans="1:6" x14ac:dyDescent="0.3">
      <c r="A188" s="1">
        <v>5187</v>
      </c>
      <c r="B188" s="1">
        <v>19</v>
      </c>
      <c r="C188" s="4">
        <v>4</v>
      </c>
      <c r="D188" s="1" t="str">
        <f>_xlfn.XLOOKUP(B188,Products!$A$2:$A$21,Products!$B$2:$B$21,,0)</f>
        <v>Router</v>
      </c>
      <c r="E188" s="1">
        <f>_xlfn.XLOOKUP(D188,Products!$B$2:$B$21,Products!$C$2:$C$21,,0)</f>
        <v>37165</v>
      </c>
      <c r="F188" s="4">
        <f t="shared" si="2"/>
        <v>148660</v>
      </c>
    </row>
    <row r="189" spans="1:6" x14ac:dyDescent="0.3">
      <c r="A189" s="1">
        <v>5188</v>
      </c>
      <c r="B189" s="1">
        <v>7</v>
      </c>
      <c r="C189" s="4">
        <v>5</v>
      </c>
      <c r="D189" s="1" t="str">
        <f>_xlfn.XLOOKUP(B189,Products!$A$2:$A$21,Products!$B$2:$B$21,,0)</f>
        <v>Camera</v>
      </c>
      <c r="E189" s="1">
        <f>_xlfn.XLOOKUP(D189,Products!$B$2:$B$21,Products!$C$2:$C$21,,0)</f>
        <v>34857</v>
      </c>
      <c r="F189" s="4">
        <f t="shared" si="2"/>
        <v>174285</v>
      </c>
    </row>
    <row r="190" spans="1:6" x14ac:dyDescent="0.3">
      <c r="A190" s="1">
        <v>5189</v>
      </c>
      <c r="B190" s="1">
        <v>3</v>
      </c>
      <c r="C190" s="4">
        <v>5</v>
      </c>
      <c r="D190" s="1" t="str">
        <f>_xlfn.XLOOKUP(B190,Products!$A$2:$A$21,Products!$B$2:$B$21,,0)</f>
        <v>Keyboard</v>
      </c>
      <c r="E190" s="1">
        <f>_xlfn.XLOOKUP(D190,Products!$B$2:$B$21,Products!$C$2:$C$21,,0)</f>
        <v>26587</v>
      </c>
      <c r="F190" s="4">
        <f t="shared" si="2"/>
        <v>132935</v>
      </c>
    </row>
    <row r="191" spans="1:6" x14ac:dyDescent="0.3">
      <c r="A191" s="1">
        <v>5190</v>
      </c>
      <c r="B191" s="1">
        <v>11</v>
      </c>
      <c r="C191" s="4">
        <v>1</v>
      </c>
      <c r="D191" s="1" t="str">
        <f>_xlfn.XLOOKUP(B191,Products!$A$2:$A$21,Products!$B$2:$B$21,,0)</f>
        <v>Fan</v>
      </c>
      <c r="E191" s="1">
        <f>_xlfn.XLOOKUP(D191,Products!$B$2:$B$21,Products!$C$2:$C$21,,0)</f>
        <v>45046</v>
      </c>
      <c r="F191" s="4">
        <f t="shared" si="2"/>
        <v>45046</v>
      </c>
    </row>
    <row r="192" spans="1:6" x14ac:dyDescent="0.3">
      <c r="A192" s="1">
        <v>5191</v>
      </c>
      <c r="B192" s="1">
        <v>14</v>
      </c>
      <c r="C192" s="4">
        <v>5</v>
      </c>
      <c r="D192" s="1" t="str">
        <f>_xlfn.XLOOKUP(B192,Products!$A$2:$A$21,Products!$B$2:$B$21,,0)</f>
        <v>Book</v>
      </c>
      <c r="E192" s="1">
        <f>_xlfn.XLOOKUP(D192,Products!$B$2:$B$21,Products!$C$2:$C$21,,0)</f>
        <v>23213</v>
      </c>
      <c r="F192" s="4">
        <f t="shared" si="2"/>
        <v>116065</v>
      </c>
    </row>
    <row r="193" spans="1:6" x14ac:dyDescent="0.3">
      <c r="A193" s="1">
        <v>5192</v>
      </c>
      <c r="B193" s="1">
        <v>17</v>
      </c>
      <c r="C193" s="4">
        <v>2</v>
      </c>
      <c r="D193" s="1" t="str">
        <f>_xlfn.XLOOKUP(B193,Products!$A$2:$A$21,Products!$B$2:$B$21,,0)</f>
        <v>TV</v>
      </c>
      <c r="E193" s="1">
        <f>_xlfn.XLOOKUP(D193,Products!$B$2:$B$21,Products!$C$2:$C$21,,0)</f>
        <v>25434</v>
      </c>
      <c r="F193" s="4">
        <f t="shared" si="2"/>
        <v>50868</v>
      </c>
    </row>
    <row r="194" spans="1:6" x14ac:dyDescent="0.3">
      <c r="A194" s="1">
        <v>5193</v>
      </c>
      <c r="B194" s="1">
        <v>19</v>
      </c>
      <c r="C194" s="4">
        <v>1</v>
      </c>
      <c r="D194" s="1" t="str">
        <f>_xlfn.XLOOKUP(B194,Products!$A$2:$A$21,Products!$B$2:$B$21,,0)</f>
        <v>Router</v>
      </c>
      <c r="E194" s="1">
        <f>_xlfn.XLOOKUP(D194,Products!$B$2:$B$21,Products!$C$2:$C$21,,0)</f>
        <v>37165</v>
      </c>
      <c r="F194" s="4">
        <f t="shared" si="2"/>
        <v>37165</v>
      </c>
    </row>
    <row r="195" spans="1:6" x14ac:dyDescent="0.3">
      <c r="A195" s="1">
        <v>5194</v>
      </c>
      <c r="B195" s="1">
        <v>15</v>
      </c>
      <c r="C195" s="4">
        <v>1</v>
      </c>
      <c r="D195" s="1" t="str">
        <f>_xlfn.XLOOKUP(B195,Products!$A$2:$A$21,Products!$B$2:$B$21,,0)</f>
        <v>Bag</v>
      </c>
      <c r="E195" s="1">
        <f>_xlfn.XLOOKUP(D195,Products!$B$2:$B$21,Products!$C$2:$C$21,,0)</f>
        <v>12567</v>
      </c>
      <c r="F195" s="4">
        <f t="shared" ref="F195:F201" si="3">C195*E195</f>
        <v>12567</v>
      </c>
    </row>
    <row r="196" spans="1:6" x14ac:dyDescent="0.3">
      <c r="A196" s="1">
        <v>5195</v>
      </c>
      <c r="B196" s="1">
        <v>13</v>
      </c>
      <c r="C196" s="4">
        <v>2</v>
      </c>
      <c r="D196" s="1" t="str">
        <f>_xlfn.XLOOKUP(B196,Products!$A$2:$A$21,Products!$B$2:$B$21,,0)</f>
        <v>Pen</v>
      </c>
      <c r="E196" s="1">
        <f>_xlfn.XLOOKUP(D196,Products!$B$2:$B$21,Products!$C$2:$C$21,,0)</f>
        <v>3900</v>
      </c>
      <c r="F196" s="4">
        <f t="shared" si="3"/>
        <v>7800</v>
      </c>
    </row>
    <row r="197" spans="1:6" x14ac:dyDescent="0.3">
      <c r="A197" s="1">
        <v>5196</v>
      </c>
      <c r="B197" s="1">
        <v>5</v>
      </c>
      <c r="C197" s="4">
        <v>4</v>
      </c>
      <c r="D197" s="1" t="str">
        <f>_xlfn.XLOOKUP(B197,Products!$A$2:$A$21,Products!$B$2:$B$21,,0)</f>
        <v>Tablet</v>
      </c>
      <c r="E197" s="1">
        <f>_xlfn.XLOOKUP(D197,Products!$B$2:$B$21,Products!$C$2:$C$21,,0)</f>
        <v>13509</v>
      </c>
      <c r="F197" s="4">
        <f t="shared" si="3"/>
        <v>54036</v>
      </c>
    </row>
    <row r="198" spans="1:6" x14ac:dyDescent="0.3">
      <c r="A198" s="1">
        <v>5197</v>
      </c>
      <c r="B198" s="1">
        <v>1</v>
      </c>
      <c r="C198" s="4">
        <v>2</v>
      </c>
      <c r="D198" s="1" t="str">
        <f>_xlfn.XLOOKUP(B198,Products!$A$2:$A$21,Products!$B$2:$B$21,,0)</f>
        <v>Laptop</v>
      </c>
      <c r="E198" s="1">
        <f>_xlfn.XLOOKUP(D198,Products!$B$2:$B$21,Products!$C$2:$C$21,,0)</f>
        <v>34130</v>
      </c>
      <c r="F198" s="4">
        <f t="shared" si="3"/>
        <v>68260</v>
      </c>
    </row>
    <row r="199" spans="1:6" x14ac:dyDescent="0.3">
      <c r="A199" s="1">
        <v>5198</v>
      </c>
      <c r="B199" s="1">
        <v>15</v>
      </c>
      <c r="C199" s="4">
        <v>3</v>
      </c>
      <c r="D199" s="1" t="str">
        <f>_xlfn.XLOOKUP(B199,Products!$A$2:$A$21,Products!$B$2:$B$21,,0)</f>
        <v>Bag</v>
      </c>
      <c r="E199" s="1">
        <f>_xlfn.XLOOKUP(D199,Products!$B$2:$B$21,Products!$C$2:$C$21,,0)</f>
        <v>12567</v>
      </c>
      <c r="F199" s="4">
        <f t="shared" si="3"/>
        <v>37701</v>
      </c>
    </row>
    <row r="200" spans="1:6" x14ac:dyDescent="0.3">
      <c r="A200" s="1">
        <v>5199</v>
      </c>
      <c r="B200" s="1">
        <v>18</v>
      </c>
      <c r="C200" s="4">
        <v>1</v>
      </c>
      <c r="D200" s="1" t="str">
        <f>_xlfn.XLOOKUP(B200,Products!$A$2:$A$21,Products!$B$2:$B$21,,0)</f>
        <v>Speaker</v>
      </c>
      <c r="E200" s="1">
        <f>_xlfn.XLOOKUP(D200,Products!$B$2:$B$21,Products!$C$2:$C$21,,0)</f>
        <v>28829</v>
      </c>
      <c r="F200" s="4">
        <f t="shared" si="3"/>
        <v>28829</v>
      </c>
    </row>
    <row r="201" spans="1:6" x14ac:dyDescent="0.3">
      <c r="A201" s="1">
        <v>5200</v>
      </c>
      <c r="B201" s="1">
        <v>12</v>
      </c>
      <c r="C201" s="4">
        <v>4</v>
      </c>
      <c r="D201" s="1" t="str">
        <f>_xlfn.XLOOKUP(B201,Products!$A$2:$A$21,Products!$B$2:$B$21,,0)</f>
        <v>AC</v>
      </c>
      <c r="E201" s="1">
        <f>_xlfn.XLOOKUP(D201,Products!$B$2:$B$21,Products!$C$2:$C$21,,0)</f>
        <v>32456</v>
      </c>
      <c r="F201" s="4">
        <f t="shared" si="3"/>
        <v>129824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114C-2882-4ADE-8899-8D45D30B9999}">
  <dimension ref="A1:N201"/>
  <sheetViews>
    <sheetView workbookViewId="0">
      <selection activeCell="I24" sqref="I24"/>
    </sheetView>
  </sheetViews>
  <sheetFormatPr defaultRowHeight="14.4" x14ac:dyDescent="0.3"/>
  <cols>
    <col min="1" max="1" width="8.5546875" bestFit="1" customWidth="1"/>
    <col min="2" max="2" width="10.44140625" bestFit="1" customWidth="1"/>
    <col min="3" max="3" width="8.33203125" bestFit="1" customWidth="1"/>
    <col min="4" max="4" width="13.5546875" bestFit="1" customWidth="1"/>
    <col min="5" max="5" width="6" bestFit="1" customWidth="1"/>
    <col min="6" max="6" width="10.33203125" bestFit="1" customWidth="1"/>
    <col min="11" max="11" width="9.77734375" bestFit="1" customWidth="1"/>
    <col min="12" max="12" width="18.44140625" bestFit="1" customWidth="1"/>
    <col min="13" max="13" width="12.88671875" bestFit="1" customWidth="1"/>
  </cols>
  <sheetData>
    <row r="1" spans="1:14" x14ac:dyDescent="0.3">
      <c r="A1" s="2" t="s">
        <v>0</v>
      </c>
      <c r="B1" s="2" t="s">
        <v>1</v>
      </c>
      <c r="C1" s="3" t="s">
        <v>2</v>
      </c>
      <c r="D1" s="5" t="s">
        <v>25</v>
      </c>
      <c r="E1" s="5" t="s">
        <v>4</v>
      </c>
      <c r="F1" s="6" t="s">
        <v>26</v>
      </c>
    </row>
    <row r="2" spans="1:14" x14ac:dyDescent="0.3">
      <c r="A2" s="1">
        <v>5001</v>
      </c>
      <c r="B2" s="1">
        <v>3</v>
      </c>
      <c r="C2" s="4">
        <v>2</v>
      </c>
      <c r="D2" s="1" t="str">
        <f>_xlfn.XLOOKUP(B2,Products!$A$2:$A$21,Products!$B$2:$B$21,,0)</f>
        <v>Keyboard</v>
      </c>
      <c r="E2" s="1">
        <f>_xlfn.XLOOKUP(D2,Products!$B$2:$B$21,Products!$C$2:$C$21,,0)</f>
        <v>26587</v>
      </c>
      <c r="F2" s="4">
        <f>C2*E2</f>
        <v>53174</v>
      </c>
    </row>
    <row r="3" spans="1:14" x14ac:dyDescent="0.3">
      <c r="A3" s="1">
        <v>5002</v>
      </c>
      <c r="B3" s="1">
        <v>11</v>
      </c>
      <c r="C3" s="4">
        <v>1</v>
      </c>
      <c r="D3" s="1" t="str">
        <f>_xlfn.XLOOKUP(B3,Products!$A$2:$A$21,Products!$B$2:$B$21,,0)</f>
        <v>Fan</v>
      </c>
      <c r="E3" s="1">
        <f>_xlfn.XLOOKUP(D3,Products!$B$2:$B$21,Products!$C$2:$C$21,,0)</f>
        <v>45046</v>
      </c>
      <c r="F3" s="4">
        <f t="shared" ref="F3:F66" si="0">C3*E3</f>
        <v>45046</v>
      </c>
    </row>
    <row r="4" spans="1:14" x14ac:dyDescent="0.3">
      <c r="A4" s="1">
        <v>5003</v>
      </c>
      <c r="B4" s="1">
        <v>2</v>
      </c>
      <c r="C4" s="4">
        <v>5</v>
      </c>
      <c r="D4" s="1" t="str">
        <f>_xlfn.XLOOKUP(B4,Products!$A$2:$A$21,Products!$B$2:$B$21,,0)</f>
        <v>Mouse</v>
      </c>
      <c r="E4" s="1">
        <f>_xlfn.XLOOKUP(D4,Products!$B$2:$B$21,Products!$C$2:$C$21,,0)</f>
        <v>40685</v>
      </c>
      <c r="F4" s="4">
        <f t="shared" si="0"/>
        <v>203425</v>
      </c>
    </row>
    <row r="5" spans="1:14" x14ac:dyDescent="0.3">
      <c r="A5" s="1">
        <v>5004</v>
      </c>
      <c r="B5" s="1">
        <v>4</v>
      </c>
      <c r="C5" s="4">
        <v>5</v>
      </c>
      <c r="D5" s="1" t="str">
        <f>_xlfn.XLOOKUP(B5,Products!$A$2:$A$21,Products!$B$2:$B$21,,0)</f>
        <v>Monitor</v>
      </c>
      <c r="E5" s="1">
        <f>_xlfn.XLOOKUP(D5,Products!$B$2:$B$21,Products!$C$2:$C$21,,0)</f>
        <v>30181</v>
      </c>
      <c r="F5" s="4">
        <f t="shared" si="0"/>
        <v>150905</v>
      </c>
    </row>
    <row r="6" spans="1:14" x14ac:dyDescent="0.3">
      <c r="A6" s="1">
        <v>5005</v>
      </c>
      <c r="B6" s="1">
        <v>14</v>
      </c>
      <c r="C6" s="4">
        <v>5</v>
      </c>
      <c r="D6" s="1" t="str">
        <f>_xlfn.XLOOKUP(B6,Products!$A$2:$A$21,Products!$B$2:$B$21,,0)</f>
        <v>Book</v>
      </c>
      <c r="E6" s="1">
        <f>_xlfn.XLOOKUP(D6,Products!$B$2:$B$21,Products!$C$2:$C$21,,0)</f>
        <v>23213</v>
      </c>
      <c r="F6" s="4">
        <f t="shared" si="0"/>
        <v>116065</v>
      </c>
    </row>
    <row r="7" spans="1:14" x14ac:dyDescent="0.3">
      <c r="A7" s="1">
        <v>5006</v>
      </c>
      <c r="B7" s="1">
        <v>5</v>
      </c>
      <c r="C7" s="4">
        <v>5</v>
      </c>
      <c r="D7" s="1" t="str">
        <f>_xlfn.XLOOKUP(B7,Products!$A$2:$A$21,Products!$B$2:$B$21,,0)</f>
        <v>Tablet</v>
      </c>
      <c r="E7" s="1">
        <f>_xlfn.XLOOKUP(D7,Products!$B$2:$B$21,Products!$C$2:$C$21,,0)</f>
        <v>13509</v>
      </c>
      <c r="F7" s="4">
        <f t="shared" si="0"/>
        <v>67545</v>
      </c>
      <c r="K7" s="8" t="s">
        <v>30</v>
      </c>
      <c r="L7" s="8" t="s">
        <v>2</v>
      </c>
      <c r="M7" s="8" t="s">
        <v>25</v>
      </c>
      <c r="N7" s="8" t="s">
        <v>4</v>
      </c>
    </row>
    <row r="8" spans="1:14" x14ac:dyDescent="0.3">
      <c r="A8" s="1">
        <v>5007</v>
      </c>
      <c r="B8" s="1">
        <v>3</v>
      </c>
      <c r="C8" s="4">
        <v>3</v>
      </c>
      <c r="D8" s="1" t="str">
        <f>_xlfn.XLOOKUP(B8,Products!$A$2:$A$21,Products!$B$2:$B$21,,0)</f>
        <v>Keyboard</v>
      </c>
      <c r="E8" s="1">
        <f>_xlfn.XLOOKUP(D8,Products!$B$2:$B$21,Products!$C$2:$C$21,,0)</f>
        <v>26587</v>
      </c>
      <c r="F8" s="4">
        <f t="shared" si="0"/>
        <v>79761</v>
      </c>
      <c r="K8" s="1">
        <v>11</v>
      </c>
      <c r="L8" s="1" cm="1">
        <f t="array" ref="L8:N8">_xlfn.XLOOKUP(K8,B2:B201,C2:E201,,0)</f>
        <v>1</v>
      </c>
      <c r="M8" s="1" t="str">
        <v>Fan</v>
      </c>
      <c r="N8" s="1">
        <v>45046</v>
      </c>
    </row>
    <row r="9" spans="1:14" x14ac:dyDescent="0.3">
      <c r="A9" s="1">
        <v>5008</v>
      </c>
      <c r="B9" s="1">
        <v>8</v>
      </c>
      <c r="C9" s="4">
        <v>1</v>
      </c>
      <c r="D9" s="1" t="str">
        <f>_xlfn.XLOOKUP(B9,Products!$A$2:$A$21,Products!$B$2:$B$21,,0)</f>
        <v>Printer</v>
      </c>
      <c r="E9" s="1">
        <f>_xlfn.XLOOKUP(D9,Products!$B$2:$B$21,Products!$C$2:$C$21,,0)</f>
        <v>31589</v>
      </c>
      <c r="F9" s="4">
        <f t="shared" si="0"/>
        <v>31589</v>
      </c>
    </row>
    <row r="10" spans="1:14" x14ac:dyDescent="0.3">
      <c r="A10" s="1">
        <v>5009</v>
      </c>
      <c r="B10" s="1">
        <v>6</v>
      </c>
      <c r="C10" s="4">
        <v>5</v>
      </c>
      <c r="D10" s="1" t="str">
        <f>_xlfn.XLOOKUP(B10,Products!$A$2:$A$21,Products!$B$2:$B$21,,0)</f>
        <v>Phone</v>
      </c>
      <c r="E10" s="1">
        <f>_xlfn.XLOOKUP(D10,Products!$B$2:$B$21,Products!$C$2:$C$21,,0)</f>
        <v>10250</v>
      </c>
      <c r="F10" s="4">
        <f t="shared" si="0"/>
        <v>51250</v>
      </c>
    </row>
    <row r="11" spans="1:14" x14ac:dyDescent="0.3">
      <c r="A11" s="1">
        <v>5010</v>
      </c>
      <c r="B11" s="1">
        <v>16</v>
      </c>
      <c r="C11" s="4">
        <v>4</v>
      </c>
      <c r="D11" s="1" t="str">
        <f>_xlfn.XLOOKUP(B11,Products!$A$2:$A$21,Products!$B$2:$B$21,,0)</f>
        <v>Watch</v>
      </c>
      <c r="E11" s="1">
        <f>_xlfn.XLOOKUP(D11,Products!$B$2:$B$21,Products!$C$2:$C$21,,0)</f>
        <v>21553</v>
      </c>
      <c r="F11" s="4">
        <f t="shared" si="0"/>
        <v>86212</v>
      </c>
    </row>
    <row r="12" spans="1:14" x14ac:dyDescent="0.3">
      <c r="A12" s="1">
        <v>5011</v>
      </c>
      <c r="B12" s="1">
        <v>15</v>
      </c>
      <c r="C12" s="4">
        <v>1</v>
      </c>
      <c r="D12" s="1" t="str">
        <f>_xlfn.XLOOKUP(B12,Products!$A$2:$A$21,Products!$B$2:$B$21,,0)</f>
        <v>Bag</v>
      </c>
      <c r="E12" s="1">
        <f>_xlfn.XLOOKUP(D12,Products!$B$2:$B$21,Products!$C$2:$C$21,,0)</f>
        <v>12567</v>
      </c>
      <c r="F12" s="4">
        <f t="shared" si="0"/>
        <v>12567</v>
      </c>
    </row>
    <row r="13" spans="1:14" x14ac:dyDescent="0.3">
      <c r="A13" s="1">
        <v>5012</v>
      </c>
      <c r="B13" s="1">
        <v>12</v>
      </c>
      <c r="C13" s="4">
        <v>4</v>
      </c>
      <c r="D13" s="1" t="str">
        <f>_xlfn.XLOOKUP(B13,Products!$A$2:$A$21,Products!$B$2:$B$21,,0)</f>
        <v>AC</v>
      </c>
      <c r="E13" s="1">
        <f>_xlfn.XLOOKUP(D13,Products!$B$2:$B$21,Products!$C$2:$C$21,,0)</f>
        <v>32456</v>
      </c>
      <c r="F13" s="4">
        <f t="shared" si="0"/>
        <v>129824</v>
      </c>
    </row>
    <row r="14" spans="1:14" x14ac:dyDescent="0.3">
      <c r="A14" s="1">
        <v>5013</v>
      </c>
      <c r="B14" s="1">
        <v>19</v>
      </c>
      <c r="C14" s="4">
        <v>5</v>
      </c>
      <c r="D14" s="1" t="str">
        <f>_xlfn.XLOOKUP(B14,Products!$A$2:$A$21,Products!$B$2:$B$21,,0)</f>
        <v>Router</v>
      </c>
      <c r="E14" s="1">
        <f>_xlfn.XLOOKUP(D14,Products!$B$2:$B$21,Products!$C$2:$C$21,,0)</f>
        <v>37165</v>
      </c>
      <c r="F14" s="4">
        <f t="shared" si="0"/>
        <v>185825</v>
      </c>
    </row>
    <row r="15" spans="1:14" x14ac:dyDescent="0.3">
      <c r="A15" s="1">
        <v>5014</v>
      </c>
      <c r="B15" s="1">
        <v>4</v>
      </c>
      <c r="C15" s="4">
        <v>5</v>
      </c>
      <c r="D15" s="1" t="str">
        <f>_xlfn.XLOOKUP(B15,Products!$A$2:$A$21,Products!$B$2:$B$21,,0)</f>
        <v>Monitor</v>
      </c>
      <c r="E15" s="1">
        <f>_xlfn.XLOOKUP(D15,Products!$B$2:$B$21,Products!$C$2:$C$21,,0)</f>
        <v>30181</v>
      </c>
      <c r="F15" s="4">
        <f t="shared" si="0"/>
        <v>150905</v>
      </c>
    </row>
    <row r="16" spans="1:14" x14ac:dyDescent="0.3">
      <c r="A16" s="1">
        <v>5015</v>
      </c>
      <c r="B16" s="1">
        <v>15</v>
      </c>
      <c r="C16" s="4">
        <v>2</v>
      </c>
      <c r="D16" s="1" t="str">
        <f>_xlfn.XLOOKUP(B16,Products!$A$2:$A$21,Products!$B$2:$B$21,,0)</f>
        <v>Bag</v>
      </c>
      <c r="E16" s="1">
        <f>_xlfn.XLOOKUP(D16,Products!$B$2:$B$21,Products!$C$2:$C$21,,0)</f>
        <v>12567</v>
      </c>
      <c r="F16" s="4">
        <f t="shared" si="0"/>
        <v>25134</v>
      </c>
    </row>
    <row r="17" spans="1:6" x14ac:dyDescent="0.3">
      <c r="A17" s="1">
        <v>5016</v>
      </c>
      <c r="B17" s="1">
        <v>6</v>
      </c>
      <c r="C17" s="4">
        <v>5</v>
      </c>
      <c r="D17" s="1" t="str">
        <f>_xlfn.XLOOKUP(B17,Products!$A$2:$A$21,Products!$B$2:$B$21,,0)</f>
        <v>Phone</v>
      </c>
      <c r="E17" s="1">
        <f>_xlfn.XLOOKUP(D17,Products!$B$2:$B$21,Products!$C$2:$C$21,,0)</f>
        <v>10250</v>
      </c>
      <c r="F17" s="4">
        <f t="shared" si="0"/>
        <v>51250</v>
      </c>
    </row>
    <row r="18" spans="1:6" x14ac:dyDescent="0.3">
      <c r="A18" s="1">
        <v>5017</v>
      </c>
      <c r="B18" s="1">
        <v>4</v>
      </c>
      <c r="C18" s="4">
        <v>4</v>
      </c>
      <c r="D18" s="1" t="str">
        <f>_xlfn.XLOOKUP(B18,Products!$A$2:$A$21,Products!$B$2:$B$21,,0)</f>
        <v>Monitor</v>
      </c>
      <c r="E18" s="1">
        <f>_xlfn.XLOOKUP(D18,Products!$B$2:$B$21,Products!$C$2:$C$21,,0)</f>
        <v>30181</v>
      </c>
      <c r="F18" s="4">
        <f t="shared" si="0"/>
        <v>120724</v>
      </c>
    </row>
    <row r="19" spans="1:6" x14ac:dyDescent="0.3">
      <c r="A19" s="1">
        <v>5018</v>
      </c>
      <c r="B19" s="1">
        <v>5</v>
      </c>
      <c r="C19" s="4">
        <v>4</v>
      </c>
      <c r="D19" s="1" t="str">
        <f>_xlfn.XLOOKUP(B19,Products!$A$2:$A$21,Products!$B$2:$B$21,,0)</f>
        <v>Tablet</v>
      </c>
      <c r="E19" s="1">
        <f>_xlfn.XLOOKUP(D19,Products!$B$2:$B$21,Products!$C$2:$C$21,,0)</f>
        <v>13509</v>
      </c>
      <c r="F19" s="4">
        <f t="shared" si="0"/>
        <v>54036</v>
      </c>
    </row>
    <row r="20" spans="1:6" x14ac:dyDescent="0.3">
      <c r="A20" s="1">
        <v>5019</v>
      </c>
      <c r="B20" s="1">
        <v>17</v>
      </c>
      <c r="C20" s="4">
        <v>3</v>
      </c>
      <c r="D20" s="1" t="str">
        <f>_xlfn.XLOOKUP(B20,Products!$A$2:$A$21,Products!$B$2:$B$21,,0)</f>
        <v>TV</v>
      </c>
      <c r="E20" s="1">
        <f>_xlfn.XLOOKUP(D20,Products!$B$2:$B$21,Products!$C$2:$C$21,,0)</f>
        <v>25434</v>
      </c>
      <c r="F20" s="4">
        <f t="shared" si="0"/>
        <v>76302</v>
      </c>
    </row>
    <row r="21" spans="1:6" x14ac:dyDescent="0.3">
      <c r="A21" s="1">
        <v>5020</v>
      </c>
      <c r="B21" s="1">
        <v>10</v>
      </c>
      <c r="C21" s="4">
        <v>1</v>
      </c>
      <c r="D21" s="1" t="str">
        <f>_xlfn.XLOOKUP(B21,Products!$A$2:$A$21,Products!$B$2:$B$21,,0)</f>
        <v>Chair</v>
      </c>
      <c r="E21" s="1">
        <f>_xlfn.XLOOKUP(D21,Products!$B$2:$B$21,Products!$C$2:$C$21,,0)</f>
        <v>18164</v>
      </c>
      <c r="F21" s="4">
        <f t="shared" si="0"/>
        <v>18164</v>
      </c>
    </row>
    <row r="22" spans="1:6" x14ac:dyDescent="0.3">
      <c r="A22" s="1">
        <v>5021</v>
      </c>
      <c r="B22" s="1">
        <v>7</v>
      </c>
      <c r="C22" s="4">
        <v>2</v>
      </c>
      <c r="D22" s="1" t="str">
        <f>_xlfn.XLOOKUP(B22,Products!$A$2:$A$21,Products!$B$2:$B$21,,0)</f>
        <v>Camera</v>
      </c>
      <c r="E22" s="1">
        <f>_xlfn.XLOOKUP(D22,Products!$B$2:$B$21,Products!$C$2:$C$21,,0)</f>
        <v>34857</v>
      </c>
      <c r="F22" s="4">
        <f t="shared" si="0"/>
        <v>69714</v>
      </c>
    </row>
    <row r="23" spans="1:6" x14ac:dyDescent="0.3">
      <c r="A23" s="1">
        <v>5022</v>
      </c>
      <c r="B23" s="1">
        <v>7</v>
      </c>
      <c r="C23" s="4">
        <v>4</v>
      </c>
      <c r="D23" s="1" t="str">
        <f>_xlfn.XLOOKUP(B23,Products!$A$2:$A$21,Products!$B$2:$B$21,,0)</f>
        <v>Camera</v>
      </c>
      <c r="E23" s="1">
        <f>_xlfn.XLOOKUP(D23,Products!$B$2:$B$21,Products!$C$2:$C$21,,0)</f>
        <v>34857</v>
      </c>
      <c r="F23" s="4">
        <f t="shared" si="0"/>
        <v>139428</v>
      </c>
    </row>
    <row r="24" spans="1:6" x14ac:dyDescent="0.3">
      <c r="A24" s="1">
        <v>5023</v>
      </c>
      <c r="B24" s="1">
        <v>20</v>
      </c>
      <c r="C24" s="4">
        <v>4</v>
      </c>
      <c r="D24" s="1" t="str">
        <f>_xlfn.XLOOKUP(B24,Products!$A$2:$A$21,Products!$B$2:$B$21,,0)</f>
        <v>SSD</v>
      </c>
      <c r="E24" s="1">
        <f>_xlfn.XLOOKUP(D24,Products!$B$2:$B$21,Products!$C$2:$C$21,,0)</f>
        <v>10724</v>
      </c>
      <c r="F24" s="4">
        <f t="shared" si="0"/>
        <v>42896</v>
      </c>
    </row>
    <row r="25" spans="1:6" x14ac:dyDescent="0.3">
      <c r="A25" s="1">
        <v>5024</v>
      </c>
      <c r="B25" s="1">
        <v>12</v>
      </c>
      <c r="C25" s="4">
        <v>4</v>
      </c>
      <c r="D25" s="1" t="str">
        <f>_xlfn.XLOOKUP(B25,Products!$A$2:$A$21,Products!$B$2:$B$21,,0)</f>
        <v>AC</v>
      </c>
      <c r="E25" s="1">
        <f>_xlfn.XLOOKUP(D25,Products!$B$2:$B$21,Products!$C$2:$C$21,,0)</f>
        <v>32456</v>
      </c>
      <c r="F25" s="4">
        <f t="shared" si="0"/>
        <v>129824</v>
      </c>
    </row>
    <row r="26" spans="1:6" x14ac:dyDescent="0.3">
      <c r="A26" s="1">
        <v>5025</v>
      </c>
      <c r="B26" s="1">
        <v>10</v>
      </c>
      <c r="C26" s="4">
        <v>5</v>
      </c>
      <c r="D26" s="1" t="str">
        <f>_xlfn.XLOOKUP(B26,Products!$A$2:$A$21,Products!$B$2:$B$21,,0)</f>
        <v>Chair</v>
      </c>
      <c r="E26" s="1">
        <f>_xlfn.XLOOKUP(D26,Products!$B$2:$B$21,Products!$C$2:$C$21,,0)</f>
        <v>18164</v>
      </c>
      <c r="F26" s="4">
        <f t="shared" si="0"/>
        <v>90820</v>
      </c>
    </row>
    <row r="27" spans="1:6" x14ac:dyDescent="0.3">
      <c r="A27" s="1">
        <v>5026</v>
      </c>
      <c r="B27" s="1">
        <v>3</v>
      </c>
      <c r="C27" s="4">
        <v>4</v>
      </c>
      <c r="D27" s="1" t="str">
        <f>_xlfn.XLOOKUP(B27,Products!$A$2:$A$21,Products!$B$2:$B$21,,0)</f>
        <v>Keyboard</v>
      </c>
      <c r="E27" s="1">
        <f>_xlfn.XLOOKUP(D27,Products!$B$2:$B$21,Products!$C$2:$C$21,,0)</f>
        <v>26587</v>
      </c>
      <c r="F27" s="4">
        <f t="shared" si="0"/>
        <v>106348</v>
      </c>
    </row>
    <row r="28" spans="1:6" x14ac:dyDescent="0.3">
      <c r="A28" s="1">
        <v>5027</v>
      </c>
      <c r="B28" s="1">
        <v>2</v>
      </c>
      <c r="C28" s="4">
        <v>3</v>
      </c>
      <c r="D28" s="1" t="str">
        <f>_xlfn.XLOOKUP(B28,Products!$A$2:$A$21,Products!$B$2:$B$21,,0)</f>
        <v>Mouse</v>
      </c>
      <c r="E28" s="1">
        <f>_xlfn.XLOOKUP(D28,Products!$B$2:$B$21,Products!$C$2:$C$21,,0)</f>
        <v>40685</v>
      </c>
      <c r="F28" s="4">
        <f t="shared" si="0"/>
        <v>122055</v>
      </c>
    </row>
    <row r="29" spans="1:6" x14ac:dyDescent="0.3">
      <c r="A29" s="1">
        <v>5028</v>
      </c>
      <c r="B29" s="1">
        <v>19</v>
      </c>
      <c r="C29" s="4">
        <v>5</v>
      </c>
      <c r="D29" s="1" t="str">
        <f>_xlfn.XLOOKUP(B29,Products!$A$2:$A$21,Products!$B$2:$B$21,,0)</f>
        <v>Router</v>
      </c>
      <c r="E29" s="1">
        <f>_xlfn.XLOOKUP(D29,Products!$B$2:$B$21,Products!$C$2:$C$21,,0)</f>
        <v>37165</v>
      </c>
      <c r="F29" s="4">
        <f t="shared" si="0"/>
        <v>185825</v>
      </c>
    </row>
    <row r="30" spans="1:6" x14ac:dyDescent="0.3">
      <c r="A30" s="1">
        <v>5029</v>
      </c>
      <c r="B30" s="1">
        <v>4</v>
      </c>
      <c r="C30" s="4">
        <v>1</v>
      </c>
      <c r="D30" s="1" t="str">
        <f>_xlfn.XLOOKUP(B30,Products!$A$2:$A$21,Products!$B$2:$B$21,,0)</f>
        <v>Monitor</v>
      </c>
      <c r="E30" s="1">
        <f>_xlfn.XLOOKUP(D30,Products!$B$2:$B$21,Products!$C$2:$C$21,,0)</f>
        <v>30181</v>
      </c>
      <c r="F30" s="4">
        <f t="shared" si="0"/>
        <v>30181</v>
      </c>
    </row>
    <row r="31" spans="1:6" x14ac:dyDescent="0.3">
      <c r="A31" s="1">
        <v>5030</v>
      </c>
      <c r="B31" s="1">
        <v>20</v>
      </c>
      <c r="C31" s="4">
        <v>5</v>
      </c>
      <c r="D31" s="1" t="str">
        <f>_xlfn.XLOOKUP(B31,Products!$A$2:$A$21,Products!$B$2:$B$21,,0)</f>
        <v>SSD</v>
      </c>
      <c r="E31" s="1">
        <f>_xlfn.XLOOKUP(D31,Products!$B$2:$B$21,Products!$C$2:$C$21,,0)</f>
        <v>10724</v>
      </c>
      <c r="F31" s="4">
        <f t="shared" si="0"/>
        <v>53620</v>
      </c>
    </row>
    <row r="32" spans="1:6" x14ac:dyDescent="0.3">
      <c r="A32" s="1">
        <v>5031</v>
      </c>
      <c r="B32" s="1">
        <v>9</v>
      </c>
      <c r="C32" s="4">
        <v>2</v>
      </c>
      <c r="D32" s="1" t="str">
        <f>_xlfn.XLOOKUP(B32,Products!$A$2:$A$21,Products!$B$2:$B$21,,0)</f>
        <v>Desk</v>
      </c>
      <c r="E32" s="1">
        <f>_xlfn.XLOOKUP(D32,Products!$B$2:$B$21,Products!$C$2:$C$21,,0)</f>
        <v>15870</v>
      </c>
      <c r="F32" s="4">
        <f t="shared" si="0"/>
        <v>31740</v>
      </c>
    </row>
    <row r="33" spans="1:6" x14ac:dyDescent="0.3">
      <c r="A33" s="1">
        <v>5032</v>
      </c>
      <c r="B33" s="1">
        <v>7</v>
      </c>
      <c r="C33" s="4">
        <v>4</v>
      </c>
      <c r="D33" s="1" t="str">
        <f>_xlfn.XLOOKUP(B33,Products!$A$2:$A$21,Products!$B$2:$B$21,,0)</f>
        <v>Camera</v>
      </c>
      <c r="E33" s="1">
        <f>_xlfn.XLOOKUP(D33,Products!$B$2:$B$21,Products!$C$2:$C$21,,0)</f>
        <v>34857</v>
      </c>
      <c r="F33" s="4">
        <f t="shared" si="0"/>
        <v>139428</v>
      </c>
    </row>
    <row r="34" spans="1:6" x14ac:dyDescent="0.3">
      <c r="A34" s="1">
        <v>5033</v>
      </c>
      <c r="B34" s="1">
        <v>11</v>
      </c>
      <c r="C34" s="4">
        <v>2</v>
      </c>
      <c r="D34" s="1" t="str">
        <f>_xlfn.XLOOKUP(B34,Products!$A$2:$A$21,Products!$B$2:$B$21,,0)</f>
        <v>Fan</v>
      </c>
      <c r="E34" s="1">
        <f>_xlfn.XLOOKUP(D34,Products!$B$2:$B$21,Products!$C$2:$C$21,,0)</f>
        <v>45046</v>
      </c>
      <c r="F34" s="4">
        <f t="shared" si="0"/>
        <v>90092</v>
      </c>
    </row>
    <row r="35" spans="1:6" x14ac:dyDescent="0.3">
      <c r="A35" s="1">
        <v>5034</v>
      </c>
      <c r="B35" s="1">
        <v>4</v>
      </c>
      <c r="C35" s="4">
        <v>3</v>
      </c>
      <c r="D35" s="1" t="str">
        <f>_xlfn.XLOOKUP(B35,Products!$A$2:$A$21,Products!$B$2:$B$21,,0)</f>
        <v>Monitor</v>
      </c>
      <c r="E35" s="1">
        <f>_xlfn.XLOOKUP(D35,Products!$B$2:$B$21,Products!$C$2:$C$21,,0)</f>
        <v>30181</v>
      </c>
      <c r="F35" s="4">
        <f t="shared" si="0"/>
        <v>90543</v>
      </c>
    </row>
    <row r="36" spans="1:6" x14ac:dyDescent="0.3">
      <c r="A36" s="1">
        <v>5035</v>
      </c>
      <c r="B36" s="1">
        <v>2</v>
      </c>
      <c r="C36" s="4">
        <v>4</v>
      </c>
      <c r="D36" s="1" t="str">
        <f>_xlfn.XLOOKUP(B36,Products!$A$2:$A$21,Products!$B$2:$B$21,,0)</f>
        <v>Mouse</v>
      </c>
      <c r="E36" s="1">
        <f>_xlfn.XLOOKUP(D36,Products!$B$2:$B$21,Products!$C$2:$C$21,,0)</f>
        <v>40685</v>
      </c>
      <c r="F36" s="4">
        <f t="shared" si="0"/>
        <v>162740</v>
      </c>
    </row>
    <row r="37" spans="1:6" x14ac:dyDescent="0.3">
      <c r="A37" s="1">
        <v>5036</v>
      </c>
      <c r="B37" s="1">
        <v>8</v>
      </c>
      <c r="C37" s="4">
        <v>4</v>
      </c>
      <c r="D37" s="1" t="str">
        <f>_xlfn.XLOOKUP(B37,Products!$A$2:$A$21,Products!$B$2:$B$21,,0)</f>
        <v>Printer</v>
      </c>
      <c r="E37" s="1">
        <f>_xlfn.XLOOKUP(D37,Products!$B$2:$B$21,Products!$C$2:$C$21,,0)</f>
        <v>31589</v>
      </c>
      <c r="F37" s="4">
        <f t="shared" si="0"/>
        <v>126356</v>
      </c>
    </row>
    <row r="38" spans="1:6" x14ac:dyDescent="0.3">
      <c r="A38" s="1">
        <v>5037</v>
      </c>
      <c r="B38" s="1">
        <v>4</v>
      </c>
      <c r="C38" s="4">
        <v>2</v>
      </c>
      <c r="D38" s="1" t="str">
        <f>_xlfn.XLOOKUP(B38,Products!$A$2:$A$21,Products!$B$2:$B$21,,0)</f>
        <v>Monitor</v>
      </c>
      <c r="E38" s="1">
        <f>_xlfn.XLOOKUP(D38,Products!$B$2:$B$21,Products!$C$2:$C$21,,0)</f>
        <v>30181</v>
      </c>
      <c r="F38" s="4">
        <f t="shared" si="0"/>
        <v>60362</v>
      </c>
    </row>
    <row r="39" spans="1:6" x14ac:dyDescent="0.3">
      <c r="A39" s="1">
        <v>5038</v>
      </c>
      <c r="B39" s="1">
        <v>18</v>
      </c>
      <c r="C39" s="4">
        <v>2</v>
      </c>
      <c r="D39" s="1" t="str">
        <f>_xlfn.XLOOKUP(B39,Products!$A$2:$A$21,Products!$B$2:$B$21,,0)</f>
        <v>Speaker</v>
      </c>
      <c r="E39" s="1">
        <f>_xlfn.XLOOKUP(D39,Products!$B$2:$B$21,Products!$C$2:$C$21,,0)</f>
        <v>28829</v>
      </c>
      <c r="F39" s="4">
        <f t="shared" si="0"/>
        <v>57658</v>
      </c>
    </row>
    <row r="40" spans="1:6" x14ac:dyDescent="0.3">
      <c r="A40" s="1">
        <v>5039</v>
      </c>
      <c r="B40" s="1">
        <v>5</v>
      </c>
      <c r="C40" s="4">
        <v>4</v>
      </c>
      <c r="D40" s="1" t="str">
        <f>_xlfn.XLOOKUP(B40,Products!$A$2:$A$21,Products!$B$2:$B$21,,0)</f>
        <v>Tablet</v>
      </c>
      <c r="E40" s="1">
        <f>_xlfn.XLOOKUP(D40,Products!$B$2:$B$21,Products!$C$2:$C$21,,0)</f>
        <v>13509</v>
      </c>
      <c r="F40" s="4">
        <f t="shared" si="0"/>
        <v>54036</v>
      </c>
    </row>
    <row r="41" spans="1:6" x14ac:dyDescent="0.3">
      <c r="A41" s="1">
        <v>5040</v>
      </c>
      <c r="B41" s="1">
        <v>8</v>
      </c>
      <c r="C41" s="4">
        <v>1</v>
      </c>
      <c r="D41" s="1" t="str">
        <f>_xlfn.XLOOKUP(B41,Products!$A$2:$A$21,Products!$B$2:$B$21,,0)</f>
        <v>Printer</v>
      </c>
      <c r="E41" s="1">
        <f>_xlfn.XLOOKUP(D41,Products!$B$2:$B$21,Products!$C$2:$C$21,,0)</f>
        <v>31589</v>
      </c>
      <c r="F41" s="4">
        <f t="shared" si="0"/>
        <v>31589</v>
      </c>
    </row>
    <row r="42" spans="1:6" x14ac:dyDescent="0.3">
      <c r="A42" s="1">
        <v>5041</v>
      </c>
      <c r="B42" s="1">
        <v>8</v>
      </c>
      <c r="C42" s="4">
        <v>5</v>
      </c>
      <c r="D42" s="1" t="str">
        <f>_xlfn.XLOOKUP(B42,Products!$A$2:$A$21,Products!$B$2:$B$21,,0)</f>
        <v>Printer</v>
      </c>
      <c r="E42" s="1">
        <f>_xlfn.XLOOKUP(D42,Products!$B$2:$B$21,Products!$C$2:$C$21,,0)</f>
        <v>31589</v>
      </c>
      <c r="F42" s="4">
        <f t="shared" si="0"/>
        <v>157945</v>
      </c>
    </row>
    <row r="43" spans="1:6" x14ac:dyDescent="0.3">
      <c r="A43" s="1">
        <v>5042</v>
      </c>
      <c r="B43" s="1">
        <v>11</v>
      </c>
      <c r="C43" s="4">
        <v>3</v>
      </c>
      <c r="D43" s="1" t="str">
        <f>_xlfn.XLOOKUP(B43,Products!$A$2:$A$21,Products!$B$2:$B$21,,0)</f>
        <v>Fan</v>
      </c>
      <c r="E43" s="1">
        <f>_xlfn.XLOOKUP(D43,Products!$B$2:$B$21,Products!$C$2:$C$21,,0)</f>
        <v>45046</v>
      </c>
      <c r="F43" s="4">
        <f t="shared" si="0"/>
        <v>135138</v>
      </c>
    </row>
    <row r="44" spans="1:6" x14ac:dyDescent="0.3">
      <c r="A44" s="1">
        <v>5043</v>
      </c>
      <c r="B44" s="1">
        <v>12</v>
      </c>
      <c r="C44" s="4">
        <v>5</v>
      </c>
      <c r="D44" s="1" t="str">
        <f>_xlfn.XLOOKUP(B44,Products!$A$2:$A$21,Products!$B$2:$B$21,,0)</f>
        <v>AC</v>
      </c>
      <c r="E44" s="1">
        <f>_xlfn.XLOOKUP(D44,Products!$B$2:$B$21,Products!$C$2:$C$21,,0)</f>
        <v>32456</v>
      </c>
      <c r="F44" s="4">
        <f t="shared" si="0"/>
        <v>162280</v>
      </c>
    </row>
    <row r="45" spans="1:6" x14ac:dyDescent="0.3">
      <c r="A45" s="1">
        <v>5044</v>
      </c>
      <c r="B45" s="1">
        <v>9</v>
      </c>
      <c r="C45" s="4">
        <v>1</v>
      </c>
      <c r="D45" s="1" t="str">
        <f>_xlfn.XLOOKUP(B45,Products!$A$2:$A$21,Products!$B$2:$B$21,,0)</f>
        <v>Desk</v>
      </c>
      <c r="E45" s="1">
        <f>_xlfn.XLOOKUP(D45,Products!$B$2:$B$21,Products!$C$2:$C$21,,0)</f>
        <v>15870</v>
      </c>
      <c r="F45" s="4">
        <f t="shared" si="0"/>
        <v>15870</v>
      </c>
    </row>
    <row r="46" spans="1:6" x14ac:dyDescent="0.3">
      <c r="A46" s="1">
        <v>5045</v>
      </c>
      <c r="B46" s="1">
        <v>2</v>
      </c>
      <c r="C46" s="4">
        <v>2</v>
      </c>
      <c r="D46" s="1" t="str">
        <f>_xlfn.XLOOKUP(B46,Products!$A$2:$A$21,Products!$B$2:$B$21,,0)</f>
        <v>Mouse</v>
      </c>
      <c r="E46" s="1">
        <f>_xlfn.XLOOKUP(D46,Products!$B$2:$B$21,Products!$C$2:$C$21,,0)</f>
        <v>40685</v>
      </c>
      <c r="F46" s="4">
        <f t="shared" si="0"/>
        <v>81370</v>
      </c>
    </row>
    <row r="47" spans="1:6" x14ac:dyDescent="0.3">
      <c r="A47" s="1">
        <v>5046</v>
      </c>
      <c r="B47" s="1">
        <v>19</v>
      </c>
      <c r="C47" s="4">
        <v>5</v>
      </c>
      <c r="D47" s="1" t="str">
        <f>_xlfn.XLOOKUP(B47,Products!$A$2:$A$21,Products!$B$2:$B$21,,0)</f>
        <v>Router</v>
      </c>
      <c r="E47" s="1">
        <f>_xlfn.XLOOKUP(D47,Products!$B$2:$B$21,Products!$C$2:$C$21,,0)</f>
        <v>37165</v>
      </c>
      <c r="F47" s="4">
        <f t="shared" si="0"/>
        <v>185825</v>
      </c>
    </row>
    <row r="48" spans="1:6" x14ac:dyDescent="0.3">
      <c r="A48" s="1">
        <v>5047</v>
      </c>
      <c r="B48" s="1">
        <v>2</v>
      </c>
      <c r="C48" s="4">
        <v>5</v>
      </c>
      <c r="D48" s="1" t="str">
        <f>_xlfn.XLOOKUP(B48,Products!$A$2:$A$21,Products!$B$2:$B$21,,0)</f>
        <v>Mouse</v>
      </c>
      <c r="E48" s="1">
        <f>_xlfn.XLOOKUP(D48,Products!$B$2:$B$21,Products!$C$2:$C$21,,0)</f>
        <v>40685</v>
      </c>
      <c r="F48" s="4">
        <f t="shared" si="0"/>
        <v>203425</v>
      </c>
    </row>
    <row r="49" spans="1:6" x14ac:dyDescent="0.3">
      <c r="A49" s="1">
        <v>5048</v>
      </c>
      <c r="B49" s="1">
        <v>2</v>
      </c>
      <c r="C49" s="4">
        <v>1</v>
      </c>
      <c r="D49" s="1" t="str">
        <f>_xlfn.XLOOKUP(B49,Products!$A$2:$A$21,Products!$B$2:$B$21,,0)</f>
        <v>Mouse</v>
      </c>
      <c r="E49" s="1">
        <f>_xlfn.XLOOKUP(D49,Products!$B$2:$B$21,Products!$C$2:$C$21,,0)</f>
        <v>40685</v>
      </c>
      <c r="F49" s="4">
        <f t="shared" si="0"/>
        <v>40685</v>
      </c>
    </row>
    <row r="50" spans="1:6" x14ac:dyDescent="0.3">
      <c r="A50" s="1">
        <v>5049</v>
      </c>
      <c r="B50" s="1">
        <v>17</v>
      </c>
      <c r="C50" s="4">
        <v>1</v>
      </c>
      <c r="D50" s="1" t="str">
        <f>_xlfn.XLOOKUP(B50,Products!$A$2:$A$21,Products!$B$2:$B$21,,0)</f>
        <v>TV</v>
      </c>
      <c r="E50" s="1">
        <f>_xlfn.XLOOKUP(D50,Products!$B$2:$B$21,Products!$C$2:$C$21,,0)</f>
        <v>25434</v>
      </c>
      <c r="F50" s="4">
        <f t="shared" si="0"/>
        <v>25434</v>
      </c>
    </row>
    <row r="51" spans="1:6" x14ac:dyDescent="0.3">
      <c r="A51" s="1">
        <v>5050</v>
      </c>
      <c r="B51" s="1">
        <v>17</v>
      </c>
      <c r="C51" s="4">
        <v>4</v>
      </c>
      <c r="D51" s="1" t="str">
        <f>_xlfn.XLOOKUP(B51,Products!$A$2:$A$21,Products!$B$2:$B$21,,0)</f>
        <v>TV</v>
      </c>
      <c r="E51" s="1">
        <f>_xlfn.XLOOKUP(D51,Products!$B$2:$B$21,Products!$C$2:$C$21,,0)</f>
        <v>25434</v>
      </c>
      <c r="F51" s="4">
        <f t="shared" si="0"/>
        <v>101736</v>
      </c>
    </row>
    <row r="52" spans="1:6" x14ac:dyDescent="0.3">
      <c r="A52" s="1">
        <v>5051</v>
      </c>
      <c r="B52" s="1">
        <v>11</v>
      </c>
      <c r="C52" s="4">
        <v>3</v>
      </c>
      <c r="D52" s="1" t="str">
        <f>_xlfn.XLOOKUP(B52,Products!$A$2:$A$21,Products!$B$2:$B$21,,0)</f>
        <v>Fan</v>
      </c>
      <c r="E52" s="1">
        <f>_xlfn.XLOOKUP(D52,Products!$B$2:$B$21,Products!$C$2:$C$21,,0)</f>
        <v>45046</v>
      </c>
      <c r="F52" s="4">
        <f t="shared" si="0"/>
        <v>135138</v>
      </c>
    </row>
    <row r="53" spans="1:6" x14ac:dyDescent="0.3">
      <c r="A53" s="1">
        <v>5052</v>
      </c>
      <c r="B53" s="1">
        <v>13</v>
      </c>
      <c r="C53" s="4">
        <v>2</v>
      </c>
      <c r="D53" s="1" t="str">
        <f>_xlfn.XLOOKUP(B53,Products!$A$2:$A$21,Products!$B$2:$B$21,,0)</f>
        <v>Pen</v>
      </c>
      <c r="E53" s="1">
        <f>_xlfn.XLOOKUP(D53,Products!$B$2:$B$21,Products!$C$2:$C$21,,0)</f>
        <v>3900</v>
      </c>
      <c r="F53" s="4">
        <f t="shared" si="0"/>
        <v>7800</v>
      </c>
    </row>
    <row r="54" spans="1:6" x14ac:dyDescent="0.3">
      <c r="A54" s="1">
        <v>5053</v>
      </c>
      <c r="B54" s="1">
        <v>11</v>
      </c>
      <c r="C54" s="4">
        <v>5</v>
      </c>
      <c r="D54" s="1" t="str">
        <f>_xlfn.XLOOKUP(B54,Products!$A$2:$A$21,Products!$B$2:$B$21,,0)</f>
        <v>Fan</v>
      </c>
      <c r="E54" s="1">
        <f>_xlfn.XLOOKUP(D54,Products!$B$2:$B$21,Products!$C$2:$C$21,,0)</f>
        <v>45046</v>
      </c>
      <c r="F54" s="4">
        <f t="shared" si="0"/>
        <v>225230</v>
      </c>
    </row>
    <row r="55" spans="1:6" x14ac:dyDescent="0.3">
      <c r="A55" s="1">
        <v>5054</v>
      </c>
      <c r="B55" s="1">
        <v>13</v>
      </c>
      <c r="C55" s="4">
        <v>1</v>
      </c>
      <c r="D55" s="1" t="str">
        <f>_xlfn.XLOOKUP(B55,Products!$A$2:$A$21,Products!$B$2:$B$21,,0)</f>
        <v>Pen</v>
      </c>
      <c r="E55" s="1">
        <f>_xlfn.XLOOKUP(D55,Products!$B$2:$B$21,Products!$C$2:$C$21,,0)</f>
        <v>3900</v>
      </c>
      <c r="F55" s="4">
        <f t="shared" si="0"/>
        <v>3900</v>
      </c>
    </row>
    <row r="56" spans="1:6" x14ac:dyDescent="0.3">
      <c r="A56" s="1">
        <v>5055</v>
      </c>
      <c r="B56" s="1">
        <v>20</v>
      </c>
      <c r="C56" s="4">
        <v>5</v>
      </c>
      <c r="D56" s="1" t="str">
        <f>_xlfn.XLOOKUP(B56,Products!$A$2:$A$21,Products!$B$2:$B$21,,0)</f>
        <v>SSD</v>
      </c>
      <c r="E56" s="1">
        <f>_xlfn.XLOOKUP(D56,Products!$B$2:$B$21,Products!$C$2:$C$21,,0)</f>
        <v>10724</v>
      </c>
      <c r="F56" s="4">
        <f t="shared" si="0"/>
        <v>53620</v>
      </c>
    </row>
    <row r="57" spans="1:6" x14ac:dyDescent="0.3">
      <c r="A57" s="1">
        <v>5056</v>
      </c>
      <c r="B57" s="1">
        <v>17</v>
      </c>
      <c r="C57" s="4">
        <v>2</v>
      </c>
      <c r="D57" s="1" t="str">
        <f>_xlfn.XLOOKUP(B57,Products!$A$2:$A$21,Products!$B$2:$B$21,,0)</f>
        <v>TV</v>
      </c>
      <c r="E57" s="1">
        <f>_xlfn.XLOOKUP(D57,Products!$B$2:$B$21,Products!$C$2:$C$21,,0)</f>
        <v>25434</v>
      </c>
      <c r="F57" s="4">
        <f t="shared" si="0"/>
        <v>50868</v>
      </c>
    </row>
    <row r="58" spans="1:6" x14ac:dyDescent="0.3">
      <c r="A58" s="1">
        <v>5057</v>
      </c>
      <c r="B58" s="1">
        <v>4</v>
      </c>
      <c r="C58" s="4">
        <v>4</v>
      </c>
      <c r="D58" s="1" t="str">
        <f>_xlfn.XLOOKUP(B58,Products!$A$2:$A$21,Products!$B$2:$B$21,,0)</f>
        <v>Monitor</v>
      </c>
      <c r="E58" s="1">
        <f>_xlfn.XLOOKUP(D58,Products!$B$2:$B$21,Products!$C$2:$C$21,,0)</f>
        <v>30181</v>
      </c>
      <c r="F58" s="4">
        <f t="shared" si="0"/>
        <v>120724</v>
      </c>
    </row>
    <row r="59" spans="1:6" x14ac:dyDescent="0.3">
      <c r="A59" s="1">
        <v>5058</v>
      </c>
      <c r="B59" s="1">
        <v>1</v>
      </c>
      <c r="C59" s="4">
        <v>3</v>
      </c>
      <c r="D59" s="1" t="str">
        <f>_xlfn.XLOOKUP(B59,Products!$A$2:$A$21,Products!$B$2:$B$21,,0)</f>
        <v>Laptop</v>
      </c>
      <c r="E59" s="1">
        <f>_xlfn.XLOOKUP(D59,Products!$B$2:$B$21,Products!$C$2:$C$21,,0)</f>
        <v>34130</v>
      </c>
      <c r="F59" s="4">
        <f t="shared" si="0"/>
        <v>102390</v>
      </c>
    </row>
    <row r="60" spans="1:6" x14ac:dyDescent="0.3">
      <c r="A60" s="1">
        <v>5059</v>
      </c>
      <c r="B60" s="1">
        <v>5</v>
      </c>
      <c r="C60" s="4">
        <v>2</v>
      </c>
      <c r="D60" s="1" t="str">
        <f>_xlfn.XLOOKUP(B60,Products!$A$2:$A$21,Products!$B$2:$B$21,,0)</f>
        <v>Tablet</v>
      </c>
      <c r="E60" s="1">
        <f>_xlfn.XLOOKUP(D60,Products!$B$2:$B$21,Products!$C$2:$C$21,,0)</f>
        <v>13509</v>
      </c>
      <c r="F60" s="4">
        <f t="shared" si="0"/>
        <v>27018</v>
      </c>
    </row>
    <row r="61" spans="1:6" x14ac:dyDescent="0.3">
      <c r="A61" s="1">
        <v>5060</v>
      </c>
      <c r="B61" s="1">
        <v>12</v>
      </c>
      <c r="C61" s="4">
        <v>1</v>
      </c>
      <c r="D61" s="1" t="str">
        <f>_xlfn.XLOOKUP(B61,Products!$A$2:$A$21,Products!$B$2:$B$21,,0)</f>
        <v>AC</v>
      </c>
      <c r="E61" s="1">
        <f>_xlfn.XLOOKUP(D61,Products!$B$2:$B$21,Products!$C$2:$C$21,,0)</f>
        <v>32456</v>
      </c>
      <c r="F61" s="4">
        <f t="shared" si="0"/>
        <v>32456</v>
      </c>
    </row>
    <row r="62" spans="1:6" x14ac:dyDescent="0.3">
      <c r="A62" s="1">
        <v>5061</v>
      </c>
      <c r="B62" s="1">
        <v>10</v>
      </c>
      <c r="C62" s="4">
        <v>3</v>
      </c>
      <c r="D62" s="1" t="str">
        <f>_xlfn.XLOOKUP(B62,Products!$A$2:$A$21,Products!$B$2:$B$21,,0)</f>
        <v>Chair</v>
      </c>
      <c r="E62" s="1">
        <f>_xlfn.XLOOKUP(D62,Products!$B$2:$B$21,Products!$C$2:$C$21,,0)</f>
        <v>18164</v>
      </c>
      <c r="F62" s="4">
        <f t="shared" si="0"/>
        <v>54492</v>
      </c>
    </row>
    <row r="63" spans="1:6" x14ac:dyDescent="0.3">
      <c r="A63" s="1">
        <v>5062</v>
      </c>
      <c r="B63" s="1">
        <v>12</v>
      </c>
      <c r="C63" s="4">
        <v>1</v>
      </c>
      <c r="D63" s="1" t="str">
        <f>_xlfn.XLOOKUP(B63,Products!$A$2:$A$21,Products!$B$2:$B$21,,0)</f>
        <v>AC</v>
      </c>
      <c r="E63" s="1">
        <f>_xlfn.XLOOKUP(D63,Products!$B$2:$B$21,Products!$C$2:$C$21,,0)</f>
        <v>32456</v>
      </c>
      <c r="F63" s="4">
        <f t="shared" si="0"/>
        <v>32456</v>
      </c>
    </row>
    <row r="64" spans="1:6" x14ac:dyDescent="0.3">
      <c r="A64" s="1">
        <v>5063</v>
      </c>
      <c r="B64" s="1">
        <v>3</v>
      </c>
      <c r="C64" s="4">
        <v>4</v>
      </c>
      <c r="D64" s="1" t="str">
        <f>_xlfn.XLOOKUP(B64,Products!$A$2:$A$21,Products!$B$2:$B$21,,0)</f>
        <v>Keyboard</v>
      </c>
      <c r="E64" s="1">
        <f>_xlfn.XLOOKUP(D64,Products!$B$2:$B$21,Products!$C$2:$C$21,,0)</f>
        <v>26587</v>
      </c>
      <c r="F64" s="4">
        <f t="shared" si="0"/>
        <v>106348</v>
      </c>
    </row>
    <row r="65" spans="1:6" x14ac:dyDescent="0.3">
      <c r="A65" s="1">
        <v>5064</v>
      </c>
      <c r="B65" s="1">
        <v>1</v>
      </c>
      <c r="C65" s="4">
        <v>3</v>
      </c>
      <c r="D65" s="1" t="str">
        <f>_xlfn.XLOOKUP(B65,Products!$A$2:$A$21,Products!$B$2:$B$21,,0)</f>
        <v>Laptop</v>
      </c>
      <c r="E65" s="1">
        <f>_xlfn.XLOOKUP(D65,Products!$B$2:$B$21,Products!$C$2:$C$21,,0)</f>
        <v>34130</v>
      </c>
      <c r="F65" s="4">
        <f t="shared" si="0"/>
        <v>102390</v>
      </c>
    </row>
    <row r="66" spans="1:6" x14ac:dyDescent="0.3">
      <c r="A66" s="1">
        <v>5065</v>
      </c>
      <c r="B66" s="1">
        <v>11</v>
      </c>
      <c r="C66" s="4">
        <v>3</v>
      </c>
      <c r="D66" s="1" t="str">
        <f>_xlfn.XLOOKUP(B66,Products!$A$2:$A$21,Products!$B$2:$B$21,,0)</f>
        <v>Fan</v>
      </c>
      <c r="E66" s="1">
        <f>_xlfn.XLOOKUP(D66,Products!$B$2:$B$21,Products!$C$2:$C$21,,0)</f>
        <v>45046</v>
      </c>
      <c r="F66" s="4">
        <f t="shared" si="0"/>
        <v>135138</v>
      </c>
    </row>
    <row r="67" spans="1:6" x14ac:dyDescent="0.3">
      <c r="A67" s="1">
        <v>5066</v>
      </c>
      <c r="B67" s="1">
        <v>16</v>
      </c>
      <c r="C67" s="4">
        <v>3</v>
      </c>
      <c r="D67" s="1" t="str">
        <f>_xlfn.XLOOKUP(B67,Products!$A$2:$A$21,Products!$B$2:$B$21,,0)</f>
        <v>Watch</v>
      </c>
      <c r="E67" s="1">
        <f>_xlfn.XLOOKUP(D67,Products!$B$2:$B$21,Products!$C$2:$C$21,,0)</f>
        <v>21553</v>
      </c>
      <c r="F67" s="4">
        <f t="shared" ref="F67:F130" si="1">C67*E67</f>
        <v>64659</v>
      </c>
    </row>
    <row r="68" spans="1:6" x14ac:dyDescent="0.3">
      <c r="A68" s="1">
        <v>5067</v>
      </c>
      <c r="B68" s="1">
        <v>16</v>
      </c>
      <c r="C68" s="4">
        <v>4</v>
      </c>
      <c r="D68" s="1" t="str">
        <f>_xlfn.XLOOKUP(B68,Products!$A$2:$A$21,Products!$B$2:$B$21,,0)</f>
        <v>Watch</v>
      </c>
      <c r="E68" s="1">
        <f>_xlfn.XLOOKUP(D68,Products!$B$2:$B$21,Products!$C$2:$C$21,,0)</f>
        <v>21553</v>
      </c>
      <c r="F68" s="4">
        <f t="shared" si="1"/>
        <v>86212</v>
      </c>
    </row>
    <row r="69" spans="1:6" x14ac:dyDescent="0.3">
      <c r="A69" s="1">
        <v>5068</v>
      </c>
      <c r="B69" s="1">
        <v>16</v>
      </c>
      <c r="C69" s="4">
        <v>4</v>
      </c>
      <c r="D69" s="1" t="str">
        <f>_xlfn.XLOOKUP(B69,Products!$A$2:$A$21,Products!$B$2:$B$21,,0)</f>
        <v>Watch</v>
      </c>
      <c r="E69" s="1">
        <f>_xlfn.XLOOKUP(D69,Products!$B$2:$B$21,Products!$C$2:$C$21,,0)</f>
        <v>21553</v>
      </c>
      <c r="F69" s="4">
        <f t="shared" si="1"/>
        <v>86212</v>
      </c>
    </row>
    <row r="70" spans="1:6" x14ac:dyDescent="0.3">
      <c r="A70" s="1">
        <v>5069</v>
      </c>
      <c r="B70" s="1">
        <v>8</v>
      </c>
      <c r="C70" s="4">
        <v>2</v>
      </c>
      <c r="D70" s="1" t="str">
        <f>_xlfn.XLOOKUP(B70,Products!$A$2:$A$21,Products!$B$2:$B$21,,0)</f>
        <v>Printer</v>
      </c>
      <c r="E70" s="1">
        <f>_xlfn.XLOOKUP(D70,Products!$B$2:$B$21,Products!$C$2:$C$21,,0)</f>
        <v>31589</v>
      </c>
      <c r="F70" s="4">
        <f t="shared" si="1"/>
        <v>63178</v>
      </c>
    </row>
    <row r="71" spans="1:6" x14ac:dyDescent="0.3">
      <c r="A71" s="1">
        <v>5070</v>
      </c>
      <c r="B71" s="1">
        <v>15</v>
      </c>
      <c r="C71" s="4">
        <v>2</v>
      </c>
      <c r="D71" s="1" t="str">
        <f>_xlfn.XLOOKUP(B71,Products!$A$2:$A$21,Products!$B$2:$B$21,,0)</f>
        <v>Bag</v>
      </c>
      <c r="E71" s="1">
        <f>_xlfn.XLOOKUP(D71,Products!$B$2:$B$21,Products!$C$2:$C$21,,0)</f>
        <v>12567</v>
      </c>
      <c r="F71" s="4">
        <f t="shared" si="1"/>
        <v>25134</v>
      </c>
    </row>
    <row r="72" spans="1:6" x14ac:dyDescent="0.3">
      <c r="A72" s="1">
        <v>5071</v>
      </c>
      <c r="B72" s="1">
        <v>9</v>
      </c>
      <c r="C72" s="4">
        <v>5</v>
      </c>
      <c r="D72" s="1" t="str">
        <f>_xlfn.XLOOKUP(B72,Products!$A$2:$A$21,Products!$B$2:$B$21,,0)</f>
        <v>Desk</v>
      </c>
      <c r="E72" s="1">
        <f>_xlfn.XLOOKUP(D72,Products!$B$2:$B$21,Products!$C$2:$C$21,,0)</f>
        <v>15870</v>
      </c>
      <c r="F72" s="4">
        <f t="shared" si="1"/>
        <v>79350</v>
      </c>
    </row>
    <row r="73" spans="1:6" x14ac:dyDescent="0.3">
      <c r="A73" s="1">
        <v>5072</v>
      </c>
      <c r="B73" s="1">
        <v>9</v>
      </c>
      <c r="C73" s="4">
        <v>1</v>
      </c>
      <c r="D73" s="1" t="str">
        <f>_xlfn.XLOOKUP(B73,Products!$A$2:$A$21,Products!$B$2:$B$21,,0)</f>
        <v>Desk</v>
      </c>
      <c r="E73" s="1">
        <f>_xlfn.XLOOKUP(D73,Products!$B$2:$B$21,Products!$C$2:$C$21,,0)</f>
        <v>15870</v>
      </c>
      <c r="F73" s="4">
        <f t="shared" si="1"/>
        <v>15870</v>
      </c>
    </row>
    <row r="74" spans="1:6" x14ac:dyDescent="0.3">
      <c r="A74" s="1">
        <v>5073</v>
      </c>
      <c r="B74" s="1">
        <v>19</v>
      </c>
      <c r="C74" s="4">
        <v>1</v>
      </c>
      <c r="D74" s="1" t="str">
        <f>_xlfn.XLOOKUP(B74,Products!$A$2:$A$21,Products!$B$2:$B$21,,0)</f>
        <v>Router</v>
      </c>
      <c r="E74" s="1">
        <f>_xlfn.XLOOKUP(D74,Products!$B$2:$B$21,Products!$C$2:$C$21,,0)</f>
        <v>37165</v>
      </c>
      <c r="F74" s="4">
        <f t="shared" si="1"/>
        <v>37165</v>
      </c>
    </row>
    <row r="75" spans="1:6" x14ac:dyDescent="0.3">
      <c r="A75" s="1">
        <v>5074</v>
      </c>
      <c r="B75" s="1">
        <v>19</v>
      </c>
      <c r="C75" s="4">
        <v>1</v>
      </c>
      <c r="D75" s="1" t="str">
        <f>_xlfn.XLOOKUP(B75,Products!$A$2:$A$21,Products!$B$2:$B$21,,0)</f>
        <v>Router</v>
      </c>
      <c r="E75" s="1">
        <f>_xlfn.XLOOKUP(D75,Products!$B$2:$B$21,Products!$C$2:$C$21,,0)</f>
        <v>37165</v>
      </c>
      <c r="F75" s="4">
        <f t="shared" si="1"/>
        <v>37165</v>
      </c>
    </row>
    <row r="76" spans="1:6" x14ac:dyDescent="0.3">
      <c r="A76" s="1">
        <v>5075</v>
      </c>
      <c r="B76" s="1">
        <v>20</v>
      </c>
      <c r="C76" s="4">
        <v>3</v>
      </c>
      <c r="D76" s="1" t="str">
        <f>_xlfn.XLOOKUP(B76,Products!$A$2:$A$21,Products!$B$2:$B$21,,0)</f>
        <v>SSD</v>
      </c>
      <c r="E76" s="1">
        <f>_xlfn.XLOOKUP(D76,Products!$B$2:$B$21,Products!$C$2:$C$21,,0)</f>
        <v>10724</v>
      </c>
      <c r="F76" s="4">
        <f t="shared" si="1"/>
        <v>32172</v>
      </c>
    </row>
    <row r="77" spans="1:6" x14ac:dyDescent="0.3">
      <c r="A77" s="1">
        <v>5076</v>
      </c>
      <c r="B77" s="1">
        <v>12</v>
      </c>
      <c r="C77" s="4">
        <v>3</v>
      </c>
      <c r="D77" s="1" t="str">
        <f>_xlfn.XLOOKUP(B77,Products!$A$2:$A$21,Products!$B$2:$B$21,,0)</f>
        <v>AC</v>
      </c>
      <c r="E77" s="1">
        <f>_xlfn.XLOOKUP(D77,Products!$B$2:$B$21,Products!$C$2:$C$21,,0)</f>
        <v>32456</v>
      </c>
      <c r="F77" s="4">
        <f t="shared" si="1"/>
        <v>97368</v>
      </c>
    </row>
    <row r="78" spans="1:6" x14ac:dyDescent="0.3">
      <c r="A78" s="1">
        <v>5077</v>
      </c>
      <c r="B78" s="1">
        <v>12</v>
      </c>
      <c r="C78" s="4">
        <v>4</v>
      </c>
      <c r="D78" s="1" t="str">
        <f>_xlfn.XLOOKUP(B78,Products!$A$2:$A$21,Products!$B$2:$B$21,,0)</f>
        <v>AC</v>
      </c>
      <c r="E78" s="1">
        <f>_xlfn.XLOOKUP(D78,Products!$B$2:$B$21,Products!$C$2:$C$21,,0)</f>
        <v>32456</v>
      </c>
      <c r="F78" s="4">
        <f t="shared" si="1"/>
        <v>129824</v>
      </c>
    </row>
    <row r="79" spans="1:6" x14ac:dyDescent="0.3">
      <c r="A79" s="1">
        <v>5078</v>
      </c>
      <c r="B79" s="1">
        <v>3</v>
      </c>
      <c r="C79" s="4">
        <v>4</v>
      </c>
      <c r="D79" s="1" t="str">
        <f>_xlfn.XLOOKUP(B79,Products!$A$2:$A$21,Products!$B$2:$B$21,,0)</f>
        <v>Keyboard</v>
      </c>
      <c r="E79" s="1">
        <f>_xlfn.XLOOKUP(D79,Products!$B$2:$B$21,Products!$C$2:$C$21,,0)</f>
        <v>26587</v>
      </c>
      <c r="F79" s="4">
        <f t="shared" si="1"/>
        <v>106348</v>
      </c>
    </row>
    <row r="80" spans="1:6" x14ac:dyDescent="0.3">
      <c r="A80" s="1">
        <v>5079</v>
      </c>
      <c r="B80" s="1">
        <v>14</v>
      </c>
      <c r="C80" s="4">
        <v>2</v>
      </c>
      <c r="D80" s="1" t="str">
        <f>_xlfn.XLOOKUP(B80,Products!$A$2:$A$21,Products!$B$2:$B$21,,0)</f>
        <v>Book</v>
      </c>
      <c r="E80" s="1">
        <f>_xlfn.XLOOKUP(D80,Products!$B$2:$B$21,Products!$C$2:$C$21,,0)</f>
        <v>23213</v>
      </c>
      <c r="F80" s="4">
        <f t="shared" si="1"/>
        <v>46426</v>
      </c>
    </row>
    <row r="81" spans="1:6" x14ac:dyDescent="0.3">
      <c r="A81" s="1">
        <v>5080</v>
      </c>
      <c r="B81" s="1">
        <v>7</v>
      </c>
      <c r="C81" s="4">
        <v>2</v>
      </c>
      <c r="D81" s="1" t="str">
        <f>_xlfn.XLOOKUP(B81,Products!$A$2:$A$21,Products!$B$2:$B$21,,0)</f>
        <v>Camera</v>
      </c>
      <c r="E81" s="1">
        <f>_xlfn.XLOOKUP(D81,Products!$B$2:$B$21,Products!$C$2:$C$21,,0)</f>
        <v>34857</v>
      </c>
      <c r="F81" s="4">
        <f t="shared" si="1"/>
        <v>69714</v>
      </c>
    </row>
    <row r="82" spans="1:6" x14ac:dyDescent="0.3">
      <c r="A82" s="1">
        <v>5081</v>
      </c>
      <c r="B82" s="1">
        <v>7</v>
      </c>
      <c r="C82" s="4">
        <v>1</v>
      </c>
      <c r="D82" s="1" t="str">
        <f>_xlfn.XLOOKUP(B82,Products!$A$2:$A$21,Products!$B$2:$B$21,,0)</f>
        <v>Camera</v>
      </c>
      <c r="E82" s="1">
        <f>_xlfn.XLOOKUP(D82,Products!$B$2:$B$21,Products!$C$2:$C$21,,0)</f>
        <v>34857</v>
      </c>
      <c r="F82" s="4">
        <f t="shared" si="1"/>
        <v>34857</v>
      </c>
    </row>
    <row r="83" spans="1:6" x14ac:dyDescent="0.3">
      <c r="A83" s="1">
        <v>5082</v>
      </c>
      <c r="B83" s="1">
        <v>11</v>
      </c>
      <c r="C83" s="4">
        <v>4</v>
      </c>
      <c r="D83" s="1" t="str">
        <f>_xlfn.XLOOKUP(B83,Products!$A$2:$A$21,Products!$B$2:$B$21,,0)</f>
        <v>Fan</v>
      </c>
      <c r="E83" s="1">
        <f>_xlfn.XLOOKUP(D83,Products!$B$2:$B$21,Products!$C$2:$C$21,,0)</f>
        <v>45046</v>
      </c>
      <c r="F83" s="4">
        <f t="shared" si="1"/>
        <v>180184</v>
      </c>
    </row>
    <row r="84" spans="1:6" x14ac:dyDescent="0.3">
      <c r="A84" s="1">
        <v>5083</v>
      </c>
      <c r="B84" s="1">
        <v>1</v>
      </c>
      <c r="C84" s="4">
        <v>5</v>
      </c>
      <c r="D84" s="1" t="str">
        <f>_xlfn.XLOOKUP(B84,Products!$A$2:$A$21,Products!$B$2:$B$21,,0)</f>
        <v>Laptop</v>
      </c>
      <c r="E84" s="1">
        <f>_xlfn.XLOOKUP(D84,Products!$B$2:$B$21,Products!$C$2:$C$21,,0)</f>
        <v>34130</v>
      </c>
      <c r="F84" s="4">
        <f t="shared" si="1"/>
        <v>170650</v>
      </c>
    </row>
    <row r="85" spans="1:6" x14ac:dyDescent="0.3">
      <c r="A85" s="1">
        <v>5084</v>
      </c>
      <c r="B85" s="1">
        <v>10</v>
      </c>
      <c r="C85" s="4">
        <v>2</v>
      </c>
      <c r="D85" s="1" t="str">
        <f>_xlfn.XLOOKUP(B85,Products!$A$2:$A$21,Products!$B$2:$B$21,,0)</f>
        <v>Chair</v>
      </c>
      <c r="E85" s="1">
        <f>_xlfn.XLOOKUP(D85,Products!$B$2:$B$21,Products!$C$2:$C$21,,0)</f>
        <v>18164</v>
      </c>
      <c r="F85" s="4">
        <f t="shared" si="1"/>
        <v>36328</v>
      </c>
    </row>
    <row r="86" spans="1:6" x14ac:dyDescent="0.3">
      <c r="A86" s="1">
        <v>5085</v>
      </c>
      <c r="B86" s="1">
        <v>18</v>
      </c>
      <c r="C86" s="4">
        <v>5</v>
      </c>
      <c r="D86" s="1" t="str">
        <f>_xlfn.XLOOKUP(B86,Products!$A$2:$A$21,Products!$B$2:$B$21,,0)</f>
        <v>Speaker</v>
      </c>
      <c r="E86" s="1">
        <f>_xlfn.XLOOKUP(D86,Products!$B$2:$B$21,Products!$C$2:$C$21,,0)</f>
        <v>28829</v>
      </c>
      <c r="F86" s="4">
        <f t="shared" si="1"/>
        <v>144145</v>
      </c>
    </row>
    <row r="87" spans="1:6" x14ac:dyDescent="0.3">
      <c r="A87" s="1">
        <v>5086</v>
      </c>
      <c r="B87" s="1">
        <v>16</v>
      </c>
      <c r="C87" s="4">
        <v>4</v>
      </c>
      <c r="D87" s="1" t="str">
        <f>_xlfn.XLOOKUP(B87,Products!$A$2:$A$21,Products!$B$2:$B$21,,0)</f>
        <v>Watch</v>
      </c>
      <c r="E87" s="1">
        <f>_xlfn.XLOOKUP(D87,Products!$B$2:$B$21,Products!$C$2:$C$21,,0)</f>
        <v>21553</v>
      </c>
      <c r="F87" s="4">
        <f t="shared" si="1"/>
        <v>86212</v>
      </c>
    </row>
    <row r="88" spans="1:6" x14ac:dyDescent="0.3">
      <c r="A88" s="1">
        <v>5087</v>
      </c>
      <c r="B88" s="1">
        <v>12</v>
      </c>
      <c r="C88" s="4">
        <v>1</v>
      </c>
      <c r="D88" s="1" t="str">
        <f>_xlfn.XLOOKUP(B88,Products!$A$2:$A$21,Products!$B$2:$B$21,,0)</f>
        <v>AC</v>
      </c>
      <c r="E88" s="1">
        <f>_xlfn.XLOOKUP(D88,Products!$B$2:$B$21,Products!$C$2:$C$21,,0)</f>
        <v>32456</v>
      </c>
      <c r="F88" s="4">
        <f t="shared" si="1"/>
        <v>32456</v>
      </c>
    </row>
    <row r="89" spans="1:6" x14ac:dyDescent="0.3">
      <c r="A89" s="1">
        <v>5088</v>
      </c>
      <c r="B89" s="1">
        <v>7</v>
      </c>
      <c r="C89" s="4">
        <v>1</v>
      </c>
      <c r="D89" s="1" t="str">
        <f>_xlfn.XLOOKUP(B89,Products!$A$2:$A$21,Products!$B$2:$B$21,,0)</f>
        <v>Camera</v>
      </c>
      <c r="E89" s="1">
        <f>_xlfn.XLOOKUP(D89,Products!$B$2:$B$21,Products!$C$2:$C$21,,0)</f>
        <v>34857</v>
      </c>
      <c r="F89" s="4">
        <f t="shared" si="1"/>
        <v>34857</v>
      </c>
    </row>
    <row r="90" spans="1:6" x14ac:dyDescent="0.3">
      <c r="A90" s="1">
        <v>5089</v>
      </c>
      <c r="B90" s="1">
        <v>17</v>
      </c>
      <c r="C90" s="4">
        <v>5</v>
      </c>
      <c r="D90" s="1" t="str">
        <f>_xlfn.XLOOKUP(B90,Products!$A$2:$A$21,Products!$B$2:$B$21,,0)</f>
        <v>TV</v>
      </c>
      <c r="E90" s="1">
        <f>_xlfn.XLOOKUP(D90,Products!$B$2:$B$21,Products!$C$2:$C$21,,0)</f>
        <v>25434</v>
      </c>
      <c r="F90" s="4">
        <f t="shared" si="1"/>
        <v>127170</v>
      </c>
    </row>
    <row r="91" spans="1:6" x14ac:dyDescent="0.3">
      <c r="A91" s="1">
        <v>5090</v>
      </c>
      <c r="B91" s="1">
        <v>18</v>
      </c>
      <c r="C91" s="4">
        <v>1</v>
      </c>
      <c r="D91" s="1" t="str">
        <f>_xlfn.XLOOKUP(B91,Products!$A$2:$A$21,Products!$B$2:$B$21,,0)</f>
        <v>Speaker</v>
      </c>
      <c r="E91" s="1">
        <f>_xlfn.XLOOKUP(D91,Products!$B$2:$B$21,Products!$C$2:$C$21,,0)</f>
        <v>28829</v>
      </c>
      <c r="F91" s="4">
        <f t="shared" si="1"/>
        <v>28829</v>
      </c>
    </row>
    <row r="92" spans="1:6" x14ac:dyDescent="0.3">
      <c r="A92" s="1">
        <v>5091</v>
      </c>
      <c r="B92" s="1">
        <v>6</v>
      </c>
      <c r="C92" s="4">
        <v>4</v>
      </c>
      <c r="D92" s="1" t="str">
        <f>_xlfn.XLOOKUP(B92,Products!$A$2:$A$21,Products!$B$2:$B$21,,0)</f>
        <v>Phone</v>
      </c>
      <c r="E92" s="1">
        <f>_xlfn.XLOOKUP(D92,Products!$B$2:$B$21,Products!$C$2:$C$21,,0)</f>
        <v>10250</v>
      </c>
      <c r="F92" s="4">
        <f t="shared" si="1"/>
        <v>41000</v>
      </c>
    </row>
    <row r="93" spans="1:6" x14ac:dyDescent="0.3">
      <c r="A93" s="1">
        <v>5092</v>
      </c>
      <c r="B93" s="1">
        <v>8</v>
      </c>
      <c r="C93" s="4">
        <v>2</v>
      </c>
      <c r="D93" s="1" t="str">
        <f>_xlfn.XLOOKUP(B93,Products!$A$2:$A$21,Products!$B$2:$B$21,,0)</f>
        <v>Printer</v>
      </c>
      <c r="E93" s="1">
        <f>_xlfn.XLOOKUP(D93,Products!$B$2:$B$21,Products!$C$2:$C$21,,0)</f>
        <v>31589</v>
      </c>
      <c r="F93" s="4">
        <f t="shared" si="1"/>
        <v>63178</v>
      </c>
    </row>
    <row r="94" spans="1:6" x14ac:dyDescent="0.3">
      <c r="A94" s="1">
        <v>5093</v>
      </c>
      <c r="B94" s="1">
        <v>14</v>
      </c>
      <c r="C94" s="4">
        <v>1</v>
      </c>
      <c r="D94" s="1" t="str">
        <f>_xlfn.XLOOKUP(B94,Products!$A$2:$A$21,Products!$B$2:$B$21,,0)</f>
        <v>Book</v>
      </c>
      <c r="E94" s="1">
        <f>_xlfn.XLOOKUP(D94,Products!$B$2:$B$21,Products!$C$2:$C$21,,0)</f>
        <v>23213</v>
      </c>
      <c r="F94" s="4">
        <f t="shared" si="1"/>
        <v>23213</v>
      </c>
    </row>
    <row r="95" spans="1:6" x14ac:dyDescent="0.3">
      <c r="A95" s="1">
        <v>5094</v>
      </c>
      <c r="B95" s="1">
        <v>7</v>
      </c>
      <c r="C95" s="4">
        <v>4</v>
      </c>
      <c r="D95" s="1" t="str">
        <f>_xlfn.XLOOKUP(B95,Products!$A$2:$A$21,Products!$B$2:$B$21,,0)</f>
        <v>Camera</v>
      </c>
      <c r="E95" s="1">
        <f>_xlfn.XLOOKUP(D95,Products!$B$2:$B$21,Products!$C$2:$C$21,,0)</f>
        <v>34857</v>
      </c>
      <c r="F95" s="4">
        <f t="shared" si="1"/>
        <v>139428</v>
      </c>
    </row>
    <row r="96" spans="1:6" x14ac:dyDescent="0.3">
      <c r="A96" s="1">
        <v>5095</v>
      </c>
      <c r="B96" s="1">
        <v>16</v>
      </c>
      <c r="C96" s="4">
        <v>1</v>
      </c>
      <c r="D96" s="1" t="str">
        <f>_xlfn.XLOOKUP(B96,Products!$A$2:$A$21,Products!$B$2:$B$21,,0)</f>
        <v>Watch</v>
      </c>
      <c r="E96" s="1">
        <f>_xlfn.XLOOKUP(D96,Products!$B$2:$B$21,Products!$C$2:$C$21,,0)</f>
        <v>21553</v>
      </c>
      <c r="F96" s="4">
        <f t="shared" si="1"/>
        <v>21553</v>
      </c>
    </row>
    <row r="97" spans="1:6" x14ac:dyDescent="0.3">
      <c r="A97" s="1">
        <v>5096</v>
      </c>
      <c r="B97" s="1">
        <v>20</v>
      </c>
      <c r="C97" s="4">
        <v>1</v>
      </c>
      <c r="D97" s="1" t="str">
        <f>_xlfn.XLOOKUP(B97,Products!$A$2:$A$21,Products!$B$2:$B$21,,0)</f>
        <v>SSD</v>
      </c>
      <c r="E97" s="1">
        <f>_xlfn.XLOOKUP(D97,Products!$B$2:$B$21,Products!$C$2:$C$21,,0)</f>
        <v>10724</v>
      </c>
      <c r="F97" s="4">
        <f t="shared" si="1"/>
        <v>10724</v>
      </c>
    </row>
    <row r="98" spans="1:6" x14ac:dyDescent="0.3">
      <c r="A98" s="1">
        <v>5097</v>
      </c>
      <c r="B98" s="1">
        <v>6</v>
      </c>
      <c r="C98" s="4">
        <v>3</v>
      </c>
      <c r="D98" s="1" t="str">
        <f>_xlfn.XLOOKUP(B98,Products!$A$2:$A$21,Products!$B$2:$B$21,,0)</f>
        <v>Phone</v>
      </c>
      <c r="E98" s="1">
        <f>_xlfn.XLOOKUP(D98,Products!$B$2:$B$21,Products!$C$2:$C$21,,0)</f>
        <v>10250</v>
      </c>
      <c r="F98" s="4">
        <f t="shared" si="1"/>
        <v>30750</v>
      </c>
    </row>
    <row r="99" spans="1:6" x14ac:dyDescent="0.3">
      <c r="A99" s="1">
        <v>5098</v>
      </c>
      <c r="B99" s="1">
        <v>14</v>
      </c>
      <c r="C99" s="4">
        <v>4</v>
      </c>
      <c r="D99" s="1" t="str">
        <f>_xlfn.XLOOKUP(B99,Products!$A$2:$A$21,Products!$B$2:$B$21,,0)</f>
        <v>Book</v>
      </c>
      <c r="E99" s="1">
        <f>_xlfn.XLOOKUP(D99,Products!$B$2:$B$21,Products!$C$2:$C$21,,0)</f>
        <v>23213</v>
      </c>
      <c r="F99" s="4">
        <f t="shared" si="1"/>
        <v>92852</v>
      </c>
    </row>
    <row r="100" spans="1:6" x14ac:dyDescent="0.3">
      <c r="A100" s="1">
        <v>5099</v>
      </c>
      <c r="B100" s="1">
        <v>2</v>
      </c>
      <c r="C100" s="4">
        <v>3</v>
      </c>
      <c r="D100" s="1" t="str">
        <f>_xlfn.XLOOKUP(B100,Products!$A$2:$A$21,Products!$B$2:$B$21,,0)</f>
        <v>Mouse</v>
      </c>
      <c r="E100" s="1">
        <f>_xlfn.XLOOKUP(D100,Products!$B$2:$B$21,Products!$C$2:$C$21,,0)</f>
        <v>40685</v>
      </c>
      <c r="F100" s="4">
        <f t="shared" si="1"/>
        <v>122055</v>
      </c>
    </row>
    <row r="101" spans="1:6" x14ac:dyDescent="0.3">
      <c r="A101" s="1">
        <v>5100</v>
      </c>
      <c r="B101" s="1">
        <v>16</v>
      </c>
      <c r="C101" s="4">
        <v>2</v>
      </c>
      <c r="D101" s="1" t="str">
        <f>_xlfn.XLOOKUP(B101,Products!$A$2:$A$21,Products!$B$2:$B$21,,0)</f>
        <v>Watch</v>
      </c>
      <c r="E101" s="1">
        <f>_xlfn.XLOOKUP(D101,Products!$B$2:$B$21,Products!$C$2:$C$21,,0)</f>
        <v>21553</v>
      </c>
      <c r="F101" s="4">
        <f t="shared" si="1"/>
        <v>43106</v>
      </c>
    </row>
    <row r="102" spans="1:6" x14ac:dyDescent="0.3">
      <c r="A102" s="1">
        <v>5101</v>
      </c>
      <c r="B102" s="1">
        <v>4</v>
      </c>
      <c r="C102" s="4">
        <v>5</v>
      </c>
      <c r="D102" s="1" t="str">
        <f>_xlfn.XLOOKUP(B102,Products!$A$2:$A$21,Products!$B$2:$B$21,,0)</f>
        <v>Monitor</v>
      </c>
      <c r="E102" s="1">
        <f>_xlfn.XLOOKUP(D102,Products!$B$2:$B$21,Products!$C$2:$C$21,,0)</f>
        <v>30181</v>
      </c>
      <c r="F102" s="4">
        <f t="shared" si="1"/>
        <v>150905</v>
      </c>
    </row>
    <row r="103" spans="1:6" x14ac:dyDescent="0.3">
      <c r="A103" s="1">
        <v>5102</v>
      </c>
      <c r="B103" s="1">
        <v>10</v>
      </c>
      <c r="C103" s="4">
        <v>3</v>
      </c>
      <c r="D103" s="1" t="str">
        <f>_xlfn.XLOOKUP(B103,Products!$A$2:$A$21,Products!$B$2:$B$21,,0)</f>
        <v>Chair</v>
      </c>
      <c r="E103" s="1">
        <f>_xlfn.XLOOKUP(D103,Products!$B$2:$B$21,Products!$C$2:$C$21,,0)</f>
        <v>18164</v>
      </c>
      <c r="F103" s="4">
        <f t="shared" si="1"/>
        <v>54492</v>
      </c>
    </row>
    <row r="104" spans="1:6" x14ac:dyDescent="0.3">
      <c r="A104" s="1">
        <v>5103</v>
      </c>
      <c r="B104" s="1">
        <v>2</v>
      </c>
      <c r="C104" s="4">
        <v>3</v>
      </c>
      <c r="D104" s="1" t="str">
        <f>_xlfn.XLOOKUP(B104,Products!$A$2:$A$21,Products!$B$2:$B$21,,0)</f>
        <v>Mouse</v>
      </c>
      <c r="E104" s="1">
        <f>_xlfn.XLOOKUP(D104,Products!$B$2:$B$21,Products!$C$2:$C$21,,0)</f>
        <v>40685</v>
      </c>
      <c r="F104" s="4">
        <f t="shared" si="1"/>
        <v>122055</v>
      </c>
    </row>
    <row r="105" spans="1:6" x14ac:dyDescent="0.3">
      <c r="A105" s="1">
        <v>5104</v>
      </c>
      <c r="B105" s="1">
        <v>16</v>
      </c>
      <c r="C105" s="4">
        <v>5</v>
      </c>
      <c r="D105" s="1" t="str">
        <f>_xlfn.XLOOKUP(B105,Products!$A$2:$A$21,Products!$B$2:$B$21,,0)</f>
        <v>Watch</v>
      </c>
      <c r="E105" s="1">
        <f>_xlfn.XLOOKUP(D105,Products!$B$2:$B$21,Products!$C$2:$C$21,,0)</f>
        <v>21553</v>
      </c>
      <c r="F105" s="4">
        <f t="shared" si="1"/>
        <v>107765</v>
      </c>
    </row>
    <row r="106" spans="1:6" x14ac:dyDescent="0.3">
      <c r="A106" s="1">
        <v>5105</v>
      </c>
      <c r="B106" s="1">
        <v>20</v>
      </c>
      <c r="C106" s="4">
        <v>2</v>
      </c>
      <c r="D106" s="1" t="str">
        <f>_xlfn.XLOOKUP(B106,Products!$A$2:$A$21,Products!$B$2:$B$21,,0)</f>
        <v>SSD</v>
      </c>
      <c r="E106" s="1">
        <f>_xlfn.XLOOKUP(D106,Products!$B$2:$B$21,Products!$C$2:$C$21,,0)</f>
        <v>10724</v>
      </c>
      <c r="F106" s="4">
        <f t="shared" si="1"/>
        <v>21448</v>
      </c>
    </row>
    <row r="107" spans="1:6" x14ac:dyDescent="0.3">
      <c r="A107" s="1">
        <v>5106</v>
      </c>
      <c r="B107" s="1">
        <v>3</v>
      </c>
      <c r="C107" s="4">
        <v>3</v>
      </c>
      <c r="D107" s="1" t="str">
        <f>_xlfn.XLOOKUP(B107,Products!$A$2:$A$21,Products!$B$2:$B$21,,0)</f>
        <v>Keyboard</v>
      </c>
      <c r="E107" s="1">
        <f>_xlfn.XLOOKUP(D107,Products!$B$2:$B$21,Products!$C$2:$C$21,,0)</f>
        <v>26587</v>
      </c>
      <c r="F107" s="4">
        <f t="shared" si="1"/>
        <v>79761</v>
      </c>
    </row>
    <row r="108" spans="1:6" x14ac:dyDescent="0.3">
      <c r="A108" s="1">
        <v>5107</v>
      </c>
      <c r="B108" s="1">
        <v>4</v>
      </c>
      <c r="C108" s="4">
        <v>1</v>
      </c>
      <c r="D108" s="1" t="str">
        <f>_xlfn.XLOOKUP(B108,Products!$A$2:$A$21,Products!$B$2:$B$21,,0)</f>
        <v>Monitor</v>
      </c>
      <c r="E108" s="1">
        <f>_xlfn.XLOOKUP(D108,Products!$B$2:$B$21,Products!$C$2:$C$21,,0)</f>
        <v>30181</v>
      </c>
      <c r="F108" s="4">
        <f t="shared" si="1"/>
        <v>30181</v>
      </c>
    </row>
    <row r="109" spans="1:6" x14ac:dyDescent="0.3">
      <c r="A109" s="1">
        <v>5108</v>
      </c>
      <c r="B109" s="1">
        <v>12</v>
      </c>
      <c r="C109" s="4">
        <v>1</v>
      </c>
      <c r="D109" s="1" t="str">
        <f>_xlfn.XLOOKUP(B109,Products!$A$2:$A$21,Products!$B$2:$B$21,,0)</f>
        <v>AC</v>
      </c>
      <c r="E109" s="1">
        <f>_xlfn.XLOOKUP(D109,Products!$B$2:$B$21,Products!$C$2:$C$21,,0)</f>
        <v>32456</v>
      </c>
      <c r="F109" s="4">
        <f t="shared" si="1"/>
        <v>32456</v>
      </c>
    </row>
    <row r="110" spans="1:6" x14ac:dyDescent="0.3">
      <c r="A110" s="1">
        <v>5109</v>
      </c>
      <c r="B110" s="1">
        <v>2</v>
      </c>
      <c r="C110" s="4">
        <v>3</v>
      </c>
      <c r="D110" s="1" t="str">
        <f>_xlfn.XLOOKUP(B110,Products!$A$2:$A$21,Products!$B$2:$B$21,,0)</f>
        <v>Mouse</v>
      </c>
      <c r="E110" s="1">
        <f>_xlfn.XLOOKUP(D110,Products!$B$2:$B$21,Products!$C$2:$C$21,,0)</f>
        <v>40685</v>
      </c>
      <c r="F110" s="4">
        <f t="shared" si="1"/>
        <v>122055</v>
      </c>
    </row>
    <row r="111" spans="1:6" x14ac:dyDescent="0.3">
      <c r="A111" s="1">
        <v>5110</v>
      </c>
      <c r="B111" s="1">
        <v>4</v>
      </c>
      <c r="C111" s="4">
        <v>1</v>
      </c>
      <c r="D111" s="1" t="str">
        <f>_xlfn.XLOOKUP(B111,Products!$A$2:$A$21,Products!$B$2:$B$21,,0)</f>
        <v>Monitor</v>
      </c>
      <c r="E111" s="1">
        <f>_xlfn.XLOOKUP(D111,Products!$B$2:$B$21,Products!$C$2:$C$21,,0)</f>
        <v>30181</v>
      </c>
      <c r="F111" s="4">
        <f t="shared" si="1"/>
        <v>30181</v>
      </c>
    </row>
    <row r="112" spans="1:6" x14ac:dyDescent="0.3">
      <c r="A112" s="1">
        <v>5111</v>
      </c>
      <c r="B112" s="1">
        <v>9</v>
      </c>
      <c r="C112" s="4">
        <v>2</v>
      </c>
      <c r="D112" s="1" t="str">
        <f>_xlfn.XLOOKUP(B112,Products!$A$2:$A$21,Products!$B$2:$B$21,,0)</f>
        <v>Desk</v>
      </c>
      <c r="E112" s="1">
        <f>_xlfn.XLOOKUP(D112,Products!$B$2:$B$21,Products!$C$2:$C$21,,0)</f>
        <v>15870</v>
      </c>
      <c r="F112" s="4">
        <f t="shared" si="1"/>
        <v>31740</v>
      </c>
    </row>
    <row r="113" spans="1:6" x14ac:dyDescent="0.3">
      <c r="A113" s="1">
        <v>5112</v>
      </c>
      <c r="B113" s="1">
        <v>4</v>
      </c>
      <c r="C113" s="4">
        <v>1</v>
      </c>
      <c r="D113" s="1" t="str">
        <f>_xlfn.XLOOKUP(B113,Products!$A$2:$A$21,Products!$B$2:$B$21,,0)</f>
        <v>Monitor</v>
      </c>
      <c r="E113" s="1">
        <f>_xlfn.XLOOKUP(D113,Products!$B$2:$B$21,Products!$C$2:$C$21,,0)</f>
        <v>30181</v>
      </c>
      <c r="F113" s="4">
        <f t="shared" si="1"/>
        <v>30181</v>
      </c>
    </row>
    <row r="114" spans="1:6" x14ac:dyDescent="0.3">
      <c r="A114" s="1">
        <v>5113</v>
      </c>
      <c r="B114" s="1">
        <v>9</v>
      </c>
      <c r="C114" s="4">
        <v>5</v>
      </c>
      <c r="D114" s="1" t="str">
        <f>_xlfn.XLOOKUP(B114,Products!$A$2:$A$21,Products!$B$2:$B$21,,0)</f>
        <v>Desk</v>
      </c>
      <c r="E114" s="1">
        <f>_xlfn.XLOOKUP(D114,Products!$B$2:$B$21,Products!$C$2:$C$21,,0)</f>
        <v>15870</v>
      </c>
      <c r="F114" s="4">
        <f t="shared" si="1"/>
        <v>79350</v>
      </c>
    </row>
    <row r="115" spans="1:6" x14ac:dyDescent="0.3">
      <c r="A115" s="1">
        <v>5114</v>
      </c>
      <c r="B115" s="1">
        <v>16</v>
      </c>
      <c r="C115" s="4">
        <v>5</v>
      </c>
      <c r="D115" s="1" t="str">
        <f>_xlfn.XLOOKUP(B115,Products!$A$2:$A$21,Products!$B$2:$B$21,,0)</f>
        <v>Watch</v>
      </c>
      <c r="E115" s="1">
        <f>_xlfn.XLOOKUP(D115,Products!$B$2:$B$21,Products!$C$2:$C$21,,0)</f>
        <v>21553</v>
      </c>
      <c r="F115" s="4">
        <f t="shared" si="1"/>
        <v>107765</v>
      </c>
    </row>
    <row r="116" spans="1:6" x14ac:dyDescent="0.3">
      <c r="A116" s="1">
        <v>5115</v>
      </c>
      <c r="B116" s="1">
        <v>5</v>
      </c>
      <c r="C116" s="4">
        <v>4</v>
      </c>
      <c r="D116" s="1" t="str">
        <f>_xlfn.XLOOKUP(B116,Products!$A$2:$A$21,Products!$B$2:$B$21,,0)</f>
        <v>Tablet</v>
      </c>
      <c r="E116" s="1">
        <f>_xlfn.XLOOKUP(D116,Products!$B$2:$B$21,Products!$C$2:$C$21,,0)</f>
        <v>13509</v>
      </c>
      <c r="F116" s="4">
        <f t="shared" si="1"/>
        <v>54036</v>
      </c>
    </row>
    <row r="117" spans="1:6" x14ac:dyDescent="0.3">
      <c r="A117" s="1">
        <v>5116</v>
      </c>
      <c r="B117" s="1">
        <v>14</v>
      </c>
      <c r="C117" s="4">
        <v>5</v>
      </c>
      <c r="D117" s="1" t="str">
        <f>_xlfn.XLOOKUP(B117,Products!$A$2:$A$21,Products!$B$2:$B$21,,0)</f>
        <v>Book</v>
      </c>
      <c r="E117" s="1">
        <f>_xlfn.XLOOKUP(D117,Products!$B$2:$B$21,Products!$C$2:$C$21,,0)</f>
        <v>23213</v>
      </c>
      <c r="F117" s="4">
        <f t="shared" si="1"/>
        <v>116065</v>
      </c>
    </row>
    <row r="118" spans="1:6" x14ac:dyDescent="0.3">
      <c r="A118" s="1">
        <v>5117</v>
      </c>
      <c r="B118" s="1">
        <v>7</v>
      </c>
      <c r="C118" s="4">
        <v>4</v>
      </c>
      <c r="D118" s="1" t="str">
        <f>_xlfn.XLOOKUP(B118,Products!$A$2:$A$21,Products!$B$2:$B$21,,0)</f>
        <v>Camera</v>
      </c>
      <c r="E118" s="1">
        <f>_xlfn.XLOOKUP(D118,Products!$B$2:$B$21,Products!$C$2:$C$21,,0)</f>
        <v>34857</v>
      </c>
      <c r="F118" s="4">
        <f t="shared" si="1"/>
        <v>139428</v>
      </c>
    </row>
    <row r="119" spans="1:6" x14ac:dyDescent="0.3">
      <c r="A119" s="1">
        <v>5118</v>
      </c>
      <c r="B119" s="1">
        <v>20</v>
      </c>
      <c r="C119" s="4">
        <v>4</v>
      </c>
      <c r="D119" s="1" t="str">
        <f>_xlfn.XLOOKUP(B119,Products!$A$2:$A$21,Products!$B$2:$B$21,,0)</f>
        <v>SSD</v>
      </c>
      <c r="E119" s="1">
        <f>_xlfn.XLOOKUP(D119,Products!$B$2:$B$21,Products!$C$2:$C$21,,0)</f>
        <v>10724</v>
      </c>
      <c r="F119" s="4">
        <f t="shared" si="1"/>
        <v>42896</v>
      </c>
    </row>
    <row r="120" spans="1:6" x14ac:dyDescent="0.3">
      <c r="A120" s="1">
        <v>5119</v>
      </c>
      <c r="B120" s="1">
        <v>12</v>
      </c>
      <c r="C120" s="4">
        <v>5</v>
      </c>
      <c r="D120" s="1" t="str">
        <f>_xlfn.XLOOKUP(B120,Products!$A$2:$A$21,Products!$B$2:$B$21,,0)</f>
        <v>AC</v>
      </c>
      <c r="E120" s="1">
        <f>_xlfn.XLOOKUP(D120,Products!$B$2:$B$21,Products!$C$2:$C$21,,0)</f>
        <v>32456</v>
      </c>
      <c r="F120" s="4">
        <f t="shared" si="1"/>
        <v>162280</v>
      </c>
    </row>
    <row r="121" spans="1:6" x14ac:dyDescent="0.3">
      <c r="A121" s="1">
        <v>5120</v>
      </c>
      <c r="B121" s="1">
        <v>4</v>
      </c>
      <c r="C121" s="4">
        <v>5</v>
      </c>
      <c r="D121" s="1" t="str">
        <f>_xlfn.XLOOKUP(B121,Products!$A$2:$A$21,Products!$B$2:$B$21,,0)</f>
        <v>Monitor</v>
      </c>
      <c r="E121" s="1">
        <f>_xlfn.XLOOKUP(D121,Products!$B$2:$B$21,Products!$C$2:$C$21,,0)</f>
        <v>30181</v>
      </c>
      <c r="F121" s="4">
        <f t="shared" si="1"/>
        <v>150905</v>
      </c>
    </row>
    <row r="122" spans="1:6" x14ac:dyDescent="0.3">
      <c r="A122" s="1">
        <v>5121</v>
      </c>
      <c r="B122" s="1">
        <v>5</v>
      </c>
      <c r="C122" s="4">
        <v>3</v>
      </c>
      <c r="D122" s="1" t="str">
        <f>_xlfn.XLOOKUP(B122,Products!$A$2:$A$21,Products!$B$2:$B$21,,0)</f>
        <v>Tablet</v>
      </c>
      <c r="E122" s="1">
        <f>_xlfn.XLOOKUP(D122,Products!$B$2:$B$21,Products!$C$2:$C$21,,0)</f>
        <v>13509</v>
      </c>
      <c r="F122" s="4">
        <f t="shared" si="1"/>
        <v>40527</v>
      </c>
    </row>
    <row r="123" spans="1:6" x14ac:dyDescent="0.3">
      <c r="A123" s="1">
        <v>5122</v>
      </c>
      <c r="B123" s="1">
        <v>7</v>
      </c>
      <c r="C123" s="4">
        <v>4</v>
      </c>
      <c r="D123" s="1" t="str">
        <f>_xlfn.XLOOKUP(B123,Products!$A$2:$A$21,Products!$B$2:$B$21,,0)</f>
        <v>Camera</v>
      </c>
      <c r="E123" s="1">
        <f>_xlfn.XLOOKUP(D123,Products!$B$2:$B$21,Products!$C$2:$C$21,,0)</f>
        <v>34857</v>
      </c>
      <c r="F123" s="4">
        <f t="shared" si="1"/>
        <v>139428</v>
      </c>
    </row>
    <row r="124" spans="1:6" x14ac:dyDescent="0.3">
      <c r="A124" s="1">
        <v>5123</v>
      </c>
      <c r="B124" s="1">
        <v>11</v>
      </c>
      <c r="C124" s="4">
        <v>5</v>
      </c>
      <c r="D124" s="1" t="str">
        <f>_xlfn.XLOOKUP(B124,Products!$A$2:$A$21,Products!$B$2:$B$21,,0)</f>
        <v>Fan</v>
      </c>
      <c r="E124" s="1">
        <f>_xlfn.XLOOKUP(D124,Products!$B$2:$B$21,Products!$C$2:$C$21,,0)</f>
        <v>45046</v>
      </c>
      <c r="F124" s="4">
        <f t="shared" si="1"/>
        <v>225230</v>
      </c>
    </row>
    <row r="125" spans="1:6" x14ac:dyDescent="0.3">
      <c r="A125" s="1">
        <v>5124</v>
      </c>
      <c r="B125" s="1">
        <v>3</v>
      </c>
      <c r="C125" s="4">
        <v>4</v>
      </c>
      <c r="D125" s="1" t="str">
        <f>_xlfn.XLOOKUP(B125,Products!$A$2:$A$21,Products!$B$2:$B$21,,0)</f>
        <v>Keyboard</v>
      </c>
      <c r="E125" s="1">
        <f>_xlfn.XLOOKUP(D125,Products!$B$2:$B$21,Products!$C$2:$C$21,,0)</f>
        <v>26587</v>
      </c>
      <c r="F125" s="4">
        <f t="shared" si="1"/>
        <v>106348</v>
      </c>
    </row>
    <row r="126" spans="1:6" x14ac:dyDescent="0.3">
      <c r="A126" s="1">
        <v>5125</v>
      </c>
      <c r="B126" s="1">
        <v>5</v>
      </c>
      <c r="C126" s="4">
        <v>1</v>
      </c>
      <c r="D126" s="1" t="str">
        <f>_xlfn.XLOOKUP(B126,Products!$A$2:$A$21,Products!$B$2:$B$21,,0)</f>
        <v>Tablet</v>
      </c>
      <c r="E126" s="1">
        <f>_xlfn.XLOOKUP(D126,Products!$B$2:$B$21,Products!$C$2:$C$21,,0)</f>
        <v>13509</v>
      </c>
      <c r="F126" s="4">
        <f t="shared" si="1"/>
        <v>13509</v>
      </c>
    </row>
    <row r="127" spans="1:6" x14ac:dyDescent="0.3">
      <c r="A127" s="1">
        <v>5126</v>
      </c>
      <c r="B127" s="1">
        <v>20</v>
      </c>
      <c r="C127" s="4">
        <v>5</v>
      </c>
      <c r="D127" s="1" t="str">
        <f>_xlfn.XLOOKUP(B127,Products!$A$2:$A$21,Products!$B$2:$B$21,,0)</f>
        <v>SSD</v>
      </c>
      <c r="E127" s="1">
        <f>_xlfn.XLOOKUP(D127,Products!$B$2:$B$21,Products!$C$2:$C$21,,0)</f>
        <v>10724</v>
      </c>
      <c r="F127" s="4">
        <f t="shared" si="1"/>
        <v>53620</v>
      </c>
    </row>
    <row r="128" spans="1:6" x14ac:dyDescent="0.3">
      <c r="A128" s="1">
        <v>5127</v>
      </c>
      <c r="B128" s="1">
        <v>10</v>
      </c>
      <c r="C128" s="4">
        <v>3</v>
      </c>
      <c r="D128" s="1" t="str">
        <f>_xlfn.XLOOKUP(B128,Products!$A$2:$A$21,Products!$B$2:$B$21,,0)</f>
        <v>Chair</v>
      </c>
      <c r="E128" s="1">
        <f>_xlfn.XLOOKUP(D128,Products!$B$2:$B$21,Products!$C$2:$C$21,,0)</f>
        <v>18164</v>
      </c>
      <c r="F128" s="4">
        <f t="shared" si="1"/>
        <v>54492</v>
      </c>
    </row>
    <row r="129" spans="1:6" x14ac:dyDescent="0.3">
      <c r="A129" s="1">
        <v>5128</v>
      </c>
      <c r="B129" s="1">
        <v>15</v>
      </c>
      <c r="C129" s="4">
        <v>2</v>
      </c>
      <c r="D129" s="1" t="str">
        <f>_xlfn.XLOOKUP(B129,Products!$A$2:$A$21,Products!$B$2:$B$21,,0)</f>
        <v>Bag</v>
      </c>
      <c r="E129" s="1">
        <f>_xlfn.XLOOKUP(D129,Products!$B$2:$B$21,Products!$C$2:$C$21,,0)</f>
        <v>12567</v>
      </c>
      <c r="F129" s="4">
        <f t="shared" si="1"/>
        <v>25134</v>
      </c>
    </row>
    <row r="130" spans="1:6" x14ac:dyDescent="0.3">
      <c r="A130" s="1">
        <v>5129</v>
      </c>
      <c r="B130" s="1">
        <v>3</v>
      </c>
      <c r="C130" s="4">
        <v>2</v>
      </c>
      <c r="D130" s="1" t="str">
        <f>_xlfn.XLOOKUP(B130,Products!$A$2:$A$21,Products!$B$2:$B$21,,0)</f>
        <v>Keyboard</v>
      </c>
      <c r="E130" s="1">
        <f>_xlfn.XLOOKUP(D130,Products!$B$2:$B$21,Products!$C$2:$C$21,,0)</f>
        <v>26587</v>
      </c>
      <c r="F130" s="4">
        <f t="shared" si="1"/>
        <v>53174</v>
      </c>
    </row>
    <row r="131" spans="1:6" x14ac:dyDescent="0.3">
      <c r="A131" s="1">
        <v>5130</v>
      </c>
      <c r="B131" s="1">
        <v>3</v>
      </c>
      <c r="C131" s="4">
        <v>3</v>
      </c>
      <c r="D131" s="1" t="str">
        <f>_xlfn.XLOOKUP(B131,Products!$A$2:$A$21,Products!$B$2:$B$21,,0)</f>
        <v>Keyboard</v>
      </c>
      <c r="E131" s="1">
        <f>_xlfn.XLOOKUP(D131,Products!$B$2:$B$21,Products!$C$2:$C$21,,0)</f>
        <v>26587</v>
      </c>
      <c r="F131" s="4">
        <f t="shared" ref="F131:F194" si="2">C131*E131</f>
        <v>79761</v>
      </c>
    </row>
    <row r="132" spans="1:6" x14ac:dyDescent="0.3">
      <c r="A132" s="1">
        <v>5131</v>
      </c>
      <c r="B132" s="1">
        <v>4</v>
      </c>
      <c r="C132" s="4">
        <v>4</v>
      </c>
      <c r="D132" s="1" t="str">
        <f>_xlfn.XLOOKUP(B132,Products!$A$2:$A$21,Products!$B$2:$B$21,,0)</f>
        <v>Monitor</v>
      </c>
      <c r="E132" s="1">
        <f>_xlfn.XLOOKUP(D132,Products!$B$2:$B$21,Products!$C$2:$C$21,,0)</f>
        <v>30181</v>
      </c>
      <c r="F132" s="4">
        <f t="shared" si="2"/>
        <v>120724</v>
      </c>
    </row>
    <row r="133" spans="1:6" x14ac:dyDescent="0.3">
      <c r="A133" s="1">
        <v>5132</v>
      </c>
      <c r="B133" s="1">
        <v>16</v>
      </c>
      <c r="C133" s="4">
        <v>5</v>
      </c>
      <c r="D133" s="1" t="str">
        <f>_xlfn.XLOOKUP(B133,Products!$A$2:$A$21,Products!$B$2:$B$21,,0)</f>
        <v>Watch</v>
      </c>
      <c r="E133" s="1">
        <f>_xlfn.XLOOKUP(D133,Products!$B$2:$B$21,Products!$C$2:$C$21,,0)</f>
        <v>21553</v>
      </c>
      <c r="F133" s="4">
        <f t="shared" si="2"/>
        <v>107765</v>
      </c>
    </row>
    <row r="134" spans="1:6" x14ac:dyDescent="0.3">
      <c r="A134" s="1">
        <v>5133</v>
      </c>
      <c r="B134" s="1">
        <v>13</v>
      </c>
      <c r="C134" s="4">
        <v>5</v>
      </c>
      <c r="D134" s="1" t="str">
        <f>_xlfn.XLOOKUP(B134,Products!$A$2:$A$21,Products!$B$2:$B$21,,0)</f>
        <v>Pen</v>
      </c>
      <c r="E134" s="1">
        <f>_xlfn.XLOOKUP(D134,Products!$B$2:$B$21,Products!$C$2:$C$21,,0)</f>
        <v>3900</v>
      </c>
      <c r="F134" s="4">
        <f t="shared" si="2"/>
        <v>19500</v>
      </c>
    </row>
    <row r="135" spans="1:6" x14ac:dyDescent="0.3">
      <c r="A135" s="1">
        <v>5134</v>
      </c>
      <c r="B135" s="1">
        <v>14</v>
      </c>
      <c r="C135" s="4">
        <v>5</v>
      </c>
      <c r="D135" s="1" t="str">
        <f>_xlfn.XLOOKUP(B135,Products!$A$2:$A$21,Products!$B$2:$B$21,,0)</f>
        <v>Book</v>
      </c>
      <c r="E135" s="1">
        <f>_xlfn.XLOOKUP(D135,Products!$B$2:$B$21,Products!$C$2:$C$21,,0)</f>
        <v>23213</v>
      </c>
      <c r="F135" s="4">
        <f t="shared" si="2"/>
        <v>116065</v>
      </c>
    </row>
    <row r="136" spans="1:6" x14ac:dyDescent="0.3">
      <c r="A136" s="1">
        <v>5135</v>
      </c>
      <c r="B136" s="1">
        <v>19</v>
      </c>
      <c r="C136" s="4">
        <v>1</v>
      </c>
      <c r="D136" s="1" t="str">
        <f>_xlfn.XLOOKUP(B136,Products!$A$2:$A$21,Products!$B$2:$B$21,,0)</f>
        <v>Router</v>
      </c>
      <c r="E136" s="1">
        <f>_xlfn.XLOOKUP(D136,Products!$B$2:$B$21,Products!$C$2:$C$21,,0)</f>
        <v>37165</v>
      </c>
      <c r="F136" s="4">
        <f t="shared" si="2"/>
        <v>37165</v>
      </c>
    </row>
    <row r="137" spans="1:6" x14ac:dyDescent="0.3">
      <c r="A137" s="1">
        <v>5136</v>
      </c>
      <c r="B137" s="1">
        <v>12</v>
      </c>
      <c r="C137" s="4">
        <v>4</v>
      </c>
      <c r="D137" s="1" t="str">
        <f>_xlfn.XLOOKUP(B137,Products!$A$2:$A$21,Products!$B$2:$B$21,,0)</f>
        <v>AC</v>
      </c>
      <c r="E137" s="1">
        <f>_xlfn.XLOOKUP(D137,Products!$B$2:$B$21,Products!$C$2:$C$21,,0)</f>
        <v>32456</v>
      </c>
      <c r="F137" s="4">
        <f t="shared" si="2"/>
        <v>129824</v>
      </c>
    </row>
    <row r="138" spans="1:6" x14ac:dyDescent="0.3">
      <c r="A138" s="1">
        <v>5137</v>
      </c>
      <c r="B138" s="1">
        <v>19</v>
      </c>
      <c r="C138" s="4">
        <v>1</v>
      </c>
      <c r="D138" s="1" t="str">
        <f>_xlfn.XLOOKUP(B138,Products!$A$2:$A$21,Products!$B$2:$B$21,,0)</f>
        <v>Router</v>
      </c>
      <c r="E138" s="1">
        <f>_xlfn.XLOOKUP(D138,Products!$B$2:$B$21,Products!$C$2:$C$21,,0)</f>
        <v>37165</v>
      </c>
      <c r="F138" s="4">
        <f t="shared" si="2"/>
        <v>37165</v>
      </c>
    </row>
    <row r="139" spans="1:6" x14ac:dyDescent="0.3">
      <c r="A139" s="1">
        <v>5138</v>
      </c>
      <c r="B139" s="1">
        <v>17</v>
      </c>
      <c r="C139" s="4">
        <v>1</v>
      </c>
      <c r="D139" s="1" t="str">
        <f>_xlfn.XLOOKUP(B139,Products!$A$2:$A$21,Products!$B$2:$B$21,,0)</f>
        <v>TV</v>
      </c>
      <c r="E139" s="1">
        <f>_xlfn.XLOOKUP(D139,Products!$B$2:$B$21,Products!$C$2:$C$21,,0)</f>
        <v>25434</v>
      </c>
      <c r="F139" s="4">
        <f t="shared" si="2"/>
        <v>25434</v>
      </c>
    </row>
    <row r="140" spans="1:6" x14ac:dyDescent="0.3">
      <c r="A140" s="1">
        <v>5139</v>
      </c>
      <c r="B140" s="1">
        <v>7</v>
      </c>
      <c r="C140" s="4">
        <v>2</v>
      </c>
      <c r="D140" s="1" t="str">
        <f>_xlfn.XLOOKUP(B140,Products!$A$2:$A$21,Products!$B$2:$B$21,,0)</f>
        <v>Camera</v>
      </c>
      <c r="E140" s="1">
        <f>_xlfn.XLOOKUP(D140,Products!$B$2:$B$21,Products!$C$2:$C$21,,0)</f>
        <v>34857</v>
      </c>
      <c r="F140" s="4">
        <f t="shared" si="2"/>
        <v>69714</v>
      </c>
    </row>
    <row r="141" spans="1:6" x14ac:dyDescent="0.3">
      <c r="A141" s="1">
        <v>5140</v>
      </c>
      <c r="B141" s="1">
        <v>8</v>
      </c>
      <c r="C141" s="4">
        <v>2</v>
      </c>
      <c r="D141" s="1" t="str">
        <f>_xlfn.XLOOKUP(B141,Products!$A$2:$A$21,Products!$B$2:$B$21,,0)</f>
        <v>Printer</v>
      </c>
      <c r="E141" s="1">
        <f>_xlfn.XLOOKUP(D141,Products!$B$2:$B$21,Products!$C$2:$C$21,,0)</f>
        <v>31589</v>
      </c>
      <c r="F141" s="4">
        <f t="shared" si="2"/>
        <v>63178</v>
      </c>
    </row>
    <row r="142" spans="1:6" x14ac:dyDescent="0.3">
      <c r="A142" s="1">
        <v>5141</v>
      </c>
      <c r="B142" s="1">
        <v>17</v>
      </c>
      <c r="C142" s="4">
        <v>2</v>
      </c>
      <c r="D142" s="1" t="str">
        <f>_xlfn.XLOOKUP(B142,Products!$A$2:$A$21,Products!$B$2:$B$21,,0)</f>
        <v>TV</v>
      </c>
      <c r="E142" s="1">
        <f>_xlfn.XLOOKUP(D142,Products!$B$2:$B$21,Products!$C$2:$C$21,,0)</f>
        <v>25434</v>
      </c>
      <c r="F142" s="4">
        <f t="shared" si="2"/>
        <v>50868</v>
      </c>
    </row>
    <row r="143" spans="1:6" x14ac:dyDescent="0.3">
      <c r="A143" s="1">
        <v>5142</v>
      </c>
      <c r="B143" s="1">
        <v>4</v>
      </c>
      <c r="C143" s="4">
        <v>2</v>
      </c>
      <c r="D143" s="1" t="str">
        <f>_xlfn.XLOOKUP(B143,Products!$A$2:$A$21,Products!$B$2:$B$21,,0)</f>
        <v>Monitor</v>
      </c>
      <c r="E143" s="1">
        <f>_xlfn.XLOOKUP(D143,Products!$B$2:$B$21,Products!$C$2:$C$21,,0)</f>
        <v>30181</v>
      </c>
      <c r="F143" s="4">
        <f t="shared" si="2"/>
        <v>60362</v>
      </c>
    </row>
    <row r="144" spans="1:6" x14ac:dyDescent="0.3">
      <c r="A144" s="1">
        <v>5143</v>
      </c>
      <c r="B144" s="1">
        <v>14</v>
      </c>
      <c r="C144" s="4">
        <v>1</v>
      </c>
      <c r="D144" s="1" t="str">
        <f>_xlfn.XLOOKUP(B144,Products!$A$2:$A$21,Products!$B$2:$B$21,,0)</f>
        <v>Book</v>
      </c>
      <c r="E144" s="1">
        <f>_xlfn.XLOOKUP(D144,Products!$B$2:$B$21,Products!$C$2:$C$21,,0)</f>
        <v>23213</v>
      </c>
      <c r="F144" s="4">
        <f t="shared" si="2"/>
        <v>23213</v>
      </c>
    </row>
    <row r="145" spans="1:6" x14ac:dyDescent="0.3">
      <c r="A145" s="1">
        <v>5144</v>
      </c>
      <c r="B145" s="1">
        <v>4</v>
      </c>
      <c r="C145" s="4">
        <v>1</v>
      </c>
      <c r="D145" s="1" t="str">
        <f>_xlfn.XLOOKUP(B145,Products!$A$2:$A$21,Products!$B$2:$B$21,,0)</f>
        <v>Monitor</v>
      </c>
      <c r="E145" s="1">
        <f>_xlfn.XLOOKUP(D145,Products!$B$2:$B$21,Products!$C$2:$C$21,,0)</f>
        <v>30181</v>
      </c>
      <c r="F145" s="4">
        <f t="shared" si="2"/>
        <v>30181</v>
      </c>
    </row>
    <row r="146" spans="1:6" x14ac:dyDescent="0.3">
      <c r="A146" s="1">
        <v>5145</v>
      </c>
      <c r="B146" s="1">
        <v>8</v>
      </c>
      <c r="C146" s="4">
        <v>2</v>
      </c>
      <c r="D146" s="1" t="str">
        <f>_xlfn.XLOOKUP(B146,Products!$A$2:$A$21,Products!$B$2:$B$21,,0)</f>
        <v>Printer</v>
      </c>
      <c r="E146" s="1">
        <f>_xlfn.XLOOKUP(D146,Products!$B$2:$B$21,Products!$C$2:$C$21,,0)</f>
        <v>31589</v>
      </c>
      <c r="F146" s="4">
        <f t="shared" si="2"/>
        <v>63178</v>
      </c>
    </row>
    <row r="147" spans="1:6" x14ac:dyDescent="0.3">
      <c r="A147" s="1">
        <v>5146</v>
      </c>
      <c r="B147" s="1">
        <v>15</v>
      </c>
      <c r="C147" s="4">
        <v>1</v>
      </c>
      <c r="D147" s="1" t="str">
        <f>_xlfn.XLOOKUP(B147,Products!$A$2:$A$21,Products!$B$2:$B$21,,0)</f>
        <v>Bag</v>
      </c>
      <c r="E147" s="1">
        <f>_xlfn.XLOOKUP(D147,Products!$B$2:$B$21,Products!$C$2:$C$21,,0)</f>
        <v>12567</v>
      </c>
      <c r="F147" s="4">
        <f t="shared" si="2"/>
        <v>12567</v>
      </c>
    </row>
    <row r="148" spans="1:6" x14ac:dyDescent="0.3">
      <c r="A148" s="1">
        <v>5147</v>
      </c>
      <c r="B148" s="1">
        <v>18</v>
      </c>
      <c r="C148" s="4">
        <v>3</v>
      </c>
      <c r="D148" s="1" t="str">
        <f>_xlfn.XLOOKUP(B148,Products!$A$2:$A$21,Products!$B$2:$B$21,,0)</f>
        <v>Speaker</v>
      </c>
      <c r="E148" s="1">
        <f>_xlfn.XLOOKUP(D148,Products!$B$2:$B$21,Products!$C$2:$C$21,,0)</f>
        <v>28829</v>
      </c>
      <c r="F148" s="4">
        <f t="shared" si="2"/>
        <v>86487</v>
      </c>
    </row>
    <row r="149" spans="1:6" x14ac:dyDescent="0.3">
      <c r="A149" s="1">
        <v>5148</v>
      </c>
      <c r="B149" s="1">
        <v>20</v>
      </c>
      <c r="C149" s="4">
        <v>3</v>
      </c>
      <c r="D149" s="1" t="str">
        <f>_xlfn.XLOOKUP(B149,Products!$A$2:$A$21,Products!$B$2:$B$21,,0)</f>
        <v>SSD</v>
      </c>
      <c r="E149" s="1">
        <f>_xlfn.XLOOKUP(D149,Products!$B$2:$B$21,Products!$C$2:$C$21,,0)</f>
        <v>10724</v>
      </c>
      <c r="F149" s="4">
        <f t="shared" si="2"/>
        <v>32172</v>
      </c>
    </row>
    <row r="150" spans="1:6" x14ac:dyDescent="0.3">
      <c r="A150" s="1">
        <v>5149</v>
      </c>
      <c r="B150" s="1">
        <v>1</v>
      </c>
      <c r="C150" s="4">
        <v>1</v>
      </c>
      <c r="D150" s="1" t="str">
        <f>_xlfn.XLOOKUP(B150,Products!$A$2:$A$21,Products!$B$2:$B$21,,0)</f>
        <v>Laptop</v>
      </c>
      <c r="E150" s="1">
        <f>_xlfn.XLOOKUP(D150,Products!$B$2:$B$21,Products!$C$2:$C$21,,0)</f>
        <v>34130</v>
      </c>
      <c r="F150" s="4">
        <f t="shared" si="2"/>
        <v>34130</v>
      </c>
    </row>
    <row r="151" spans="1:6" x14ac:dyDescent="0.3">
      <c r="A151" s="1">
        <v>5150</v>
      </c>
      <c r="B151" s="1">
        <v>12</v>
      </c>
      <c r="C151" s="4">
        <v>2</v>
      </c>
      <c r="D151" s="1" t="str">
        <f>_xlfn.XLOOKUP(B151,Products!$A$2:$A$21,Products!$B$2:$B$21,,0)</f>
        <v>AC</v>
      </c>
      <c r="E151" s="1">
        <f>_xlfn.XLOOKUP(D151,Products!$B$2:$B$21,Products!$C$2:$C$21,,0)</f>
        <v>32456</v>
      </c>
      <c r="F151" s="4">
        <f t="shared" si="2"/>
        <v>64912</v>
      </c>
    </row>
    <row r="152" spans="1:6" x14ac:dyDescent="0.3">
      <c r="A152" s="1">
        <v>5151</v>
      </c>
      <c r="B152" s="1">
        <v>20</v>
      </c>
      <c r="C152" s="4">
        <v>3</v>
      </c>
      <c r="D152" s="1" t="str">
        <f>_xlfn.XLOOKUP(B152,Products!$A$2:$A$21,Products!$B$2:$B$21,,0)</f>
        <v>SSD</v>
      </c>
      <c r="E152" s="1">
        <f>_xlfn.XLOOKUP(D152,Products!$B$2:$B$21,Products!$C$2:$C$21,,0)</f>
        <v>10724</v>
      </c>
      <c r="F152" s="4">
        <f t="shared" si="2"/>
        <v>32172</v>
      </c>
    </row>
    <row r="153" spans="1:6" x14ac:dyDescent="0.3">
      <c r="A153" s="1">
        <v>5152</v>
      </c>
      <c r="B153" s="1">
        <v>18</v>
      </c>
      <c r="C153" s="4">
        <v>5</v>
      </c>
      <c r="D153" s="1" t="str">
        <f>_xlfn.XLOOKUP(B153,Products!$A$2:$A$21,Products!$B$2:$B$21,,0)</f>
        <v>Speaker</v>
      </c>
      <c r="E153" s="1">
        <f>_xlfn.XLOOKUP(D153,Products!$B$2:$B$21,Products!$C$2:$C$21,,0)</f>
        <v>28829</v>
      </c>
      <c r="F153" s="4">
        <f t="shared" si="2"/>
        <v>144145</v>
      </c>
    </row>
    <row r="154" spans="1:6" x14ac:dyDescent="0.3">
      <c r="A154" s="1">
        <v>5153</v>
      </c>
      <c r="B154" s="1">
        <v>20</v>
      </c>
      <c r="C154" s="4">
        <v>4</v>
      </c>
      <c r="D154" s="1" t="str">
        <f>_xlfn.XLOOKUP(B154,Products!$A$2:$A$21,Products!$B$2:$B$21,,0)</f>
        <v>SSD</v>
      </c>
      <c r="E154" s="1">
        <f>_xlfn.XLOOKUP(D154,Products!$B$2:$B$21,Products!$C$2:$C$21,,0)</f>
        <v>10724</v>
      </c>
      <c r="F154" s="4">
        <f t="shared" si="2"/>
        <v>42896</v>
      </c>
    </row>
    <row r="155" spans="1:6" x14ac:dyDescent="0.3">
      <c r="A155" s="1">
        <v>5154</v>
      </c>
      <c r="B155" s="1">
        <v>14</v>
      </c>
      <c r="C155" s="4">
        <v>3</v>
      </c>
      <c r="D155" s="1" t="str">
        <f>_xlfn.XLOOKUP(B155,Products!$A$2:$A$21,Products!$B$2:$B$21,,0)</f>
        <v>Book</v>
      </c>
      <c r="E155" s="1">
        <f>_xlfn.XLOOKUP(D155,Products!$B$2:$B$21,Products!$C$2:$C$21,,0)</f>
        <v>23213</v>
      </c>
      <c r="F155" s="4">
        <f t="shared" si="2"/>
        <v>69639</v>
      </c>
    </row>
    <row r="156" spans="1:6" x14ac:dyDescent="0.3">
      <c r="A156" s="1">
        <v>5155</v>
      </c>
      <c r="B156" s="1">
        <v>12</v>
      </c>
      <c r="C156" s="4">
        <v>3</v>
      </c>
      <c r="D156" s="1" t="str">
        <f>_xlfn.XLOOKUP(B156,Products!$A$2:$A$21,Products!$B$2:$B$21,,0)</f>
        <v>AC</v>
      </c>
      <c r="E156" s="1">
        <f>_xlfn.XLOOKUP(D156,Products!$B$2:$B$21,Products!$C$2:$C$21,,0)</f>
        <v>32456</v>
      </c>
      <c r="F156" s="4">
        <f t="shared" si="2"/>
        <v>97368</v>
      </c>
    </row>
    <row r="157" spans="1:6" x14ac:dyDescent="0.3">
      <c r="A157" s="1">
        <v>5156</v>
      </c>
      <c r="B157" s="1">
        <v>1</v>
      </c>
      <c r="C157" s="4">
        <v>5</v>
      </c>
      <c r="D157" s="1" t="str">
        <f>_xlfn.XLOOKUP(B157,Products!$A$2:$A$21,Products!$B$2:$B$21,,0)</f>
        <v>Laptop</v>
      </c>
      <c r="E157" s="1">
        <f>_xlfn.XLOOKUP(D157,Products!$B$2:$B$21,Products!$C$2:$C$21,,0)</f>
        <v>34130</v>
      </c>
      <c r="F157" s="4">
        <f t="shared" si="2"/>
        <v>170650</v>
      </c>
    </row>
    <row r="158" spans="1:6" x14ac:dyDescent="0.3">
      <c r="A158" s="1">
        <v>5157</v>
      </c>
      <c r="B158" s="1">
        <v>10</v>
      </c>
      <c r="C158" s="4">
        <v>1</v>
      </c>
      <c r="D158" s="1" t="str">
        <f>_xlfn.XLOOKUP(B158,Products!$A$2:$A$21,Products!$B$2:$B$21,,0)</f>
        <v>Chair</v>
      </c>
      <c r="E158" s="1">
        <f>_xlfn.XLOOKUP(D158,Products!$B$2:$B$21,Products!$C$2:$C$21,,0)</f>
        <v>18164</v>
      </c>
      <c r="F158" s="4">
        <f t="shared" si="2"/>
        <v>18164</v>
      </c>
    </row>
    <row r="159" spans="1:6" x14ac:dyDescent="0.3">
      <c r="A159" s="1">
        <v>5158</v>
      </c>
      <c r="B159" s="1">
        <v>1</v>
      </c>
      <c r="C159" s="4">
        <v>3</v>
      </c>
      <c r="D159" s="1" t="str">
        <f>_xlfn.XLOOKUP(B159,Products!$A$2:$A$21,Products!$B$2:$B$21,,0)</f>
        <v>Laptop</v>
      </c>
      <c r="E159" s="1">
        <f>_xlfn.XLOOKUP(D159,Products!$B$2:$B$21,Products!$C$2:$C$21,,0)</f>
        <v>34130</v>
      </c>
      <c r="F159" s="4">
        <f t="shared" si="2"/>
        <v>102390</v>
      </c>
    </row>
    <row r="160" spans="1:6" x14ac:dyDescent="0.3">
      <c r="A160" s="1">
        <v>5159</v>
      </c>
      <c r="B160" s="1">
        <v>8</v>
      </c>
      <c r="C160" s="4">
        <v>3</v>
      </c>
      <c r="D160" s="1" t="str">
        <f>_xlfn.XLOOKUP(B160,Products!$A$2:$A$21,Products!$B$2:$B$21,,0)</f>
        <v>Printer</v>
      </c>
      <c r="E160" s="1">
        <f>_xlfn.XLOOKUP(D160,Products!$B$2:$B$21,Products!$C$2:$C$21,,0)</f>
        <v>31589</v>
      </c>
      <c r="F160" s="4">
        <f t="shared" si="2"/>
        <v>94767</v>
      </c>
    </row>
    <row r="161" spans="1:6" x14ac:dyDescent="0.3">
      <c r="A161" s="1">
        <v>5160</v>
      </c>
      <c r="B161" s="1">
        <v>1</v>
      </c>
      <c r="C161" s="4">
        <v>3</v>
      </c>
      <c r="D161" s="1" t="str">
        <f>_xlfn.XLOOKUP(B161,Products!$A$2:$A$21,Products!$B$2:$B$21,,0)</f>
        <v>Laptop</v>
      </c>
      <c r="E161" s="1">
        <f>_xlfn.XLOOKUP(D161,Products!$B$2:$B$21,Products!$C$2:$C$21,,0)</f>
        <v>34130</v>
      </c>
      <c r="F161" s="4">
        <f t="shared" si="2"/>
        <v>102390</v>
      </c>
    </row>
    <row r="162" spans="1:6" x14ac:dyDescent="0.3">
      <c r="A162" s="1">
        <v>5161</v>
      </c>
      <c r="B162" s="1">
        <v>18</v>
      </c>
      <c r="C162" s="4">
        <v>2</v>
      </c>
      <c r="D162" s="1" t="str">
        <f>_xlfn.XLOOKUP(B162,Products!$A$2:$A$21,Products!$B$2:$B$21,,0)</f>
        <v>Speaker</v>
      </c>
      <c r="E162" s="1">
        <f>_xlfn.XLOOKUP(D162,Products!$B$2:$B$21,Products!$C$2:$C$21,,0)</f>
        <v>28829</v>
      </c>
      <c r="F162" s="4">
        <f t="shared" si="2"/>
        <v>57658</v>
      </c>
    </row>
    <row r="163" spans="1:6" x14ac:dyDescent="0.3">
      <c r="A163" s="1">
        <v>5162</v>
      </c>
      <c r="B163" s="1">
        <v>8</v>
      </c>
      <c r="C163" s="4">
        <v>3</v>
      </c>
      <c r="D163" s="1" t="str">
        <f>_xlfn.XLOOKUP(B163,Products!$A$2:$A$21,Products!$B$2:$B$21,,0)</f>
        <v>Printer</v>
      </c>
      <c r="E163" s="1">
        <f>_xlfn.XLOOKUP(D163,Products!$B$2:$B$21,Products!$C$2:$C$21,,0)</f>
        <v>31589</v>
      </c>
      <c r="F163" s="4">
        <f t="shared" si="2"/>
        <v>94767</v>
      </c>
    </row>
    <row r="164" spans="1:6" x14ac:dyDescent="0.3">
      <c r="A164" s="1">
        <v>5163</v>
      </c>
      <c r="B164" s="1">
        <v>19</v>
      </c>
      <c r="C164" s="4">
        <v>1</v>
      </c>
      <c r="D164" s="1" t="str">
        <f>_xlfn.XLOOKUP(B164,Products!$A$2:$A$21,Products!$B$2:$B$21,,0)</f>
        <v>Router</v>
      </c>
      <c r="E164" s="1">
        <f>_xlfn.XLOOKUP(D164,Products!$B$2:$B$21,Products!$C$2:$C$21,,0)</f>
        <v>37165</v>
      </c>
      <c r="F164" s="4">
        <f t="shared" si="2"/>
        <v>37165</v>
      </c>
    </row>
    <row r="165" spans="1:6" x14ac:dyDescent="0.3">
      <c r="A165" s="1">
        <v>5164</v>
      </c>
      <c r="B165" s="1">
        <v>10</v>
      </c>
      <c r="C165" s="4">
        <v>2</v>
      </c>
      <c r="D165" s="1" t="str">
        <f>_xlfn.XLOOKUP(B165,Products!$A$2:$A$21,Products!$B$2:$B$21,,0)</f>
        <v>Chair</v>
      </c>
      <c r="E165" s="1">
        <f>_xlfn.XLOOKUP(D165,Products!$B$2:$B$21,Products!$C$2:$C$21,,0)</f>
        <v>18164</v>
      </c>
      <c r="F165" s="4">
        <f t="shared" si="2"/>
        <v>36328</v>
      </c>
    </row>
    <row r="166" spans="1:6" x14ac:dyDescent="0.3">
      <c r="A166" s="1">
        <v>5165</v>
      </c>
      <c r="B166" s="1">
        <v>10</v>
      </c>
      <c r="C166" s="4">
        <v>1</v>
      </c>
      <c r="D166" s="1" t="str">
        <f>_xlfn.XLOOKUP(B166,Products!$A$2:$A$21,Products!$B$2:$B$21,,0)</f>
        <v>Chair</v>
      </c>
      <c r="E166" s="1">
        <f>_xlfn.XLOOKUP(D166,Products!$B$2:$B$21,Products!$C$2:$C$21,,0)</f>
        <v>18164</v>
      </c>
      <c r="F166" s="4">
        <f t="shared" si="2"/>
        <v>18164</v>
      </c>
    </row>
    <row r="167" spans="1:6" x14ac:dyDescent="0.3">
      <c r="A167" s="1">
        <v>5166</v>
      </c>
      <c r="B167" s="1">
        <v>9</v>
      </c>
      <c r="C167" s="4">
        <v>3</v>
      </c>
      <c r="D167" s="1" t="str">
        <f>_xlfn.XLOOKUP(B167,Products!$A$2:$A$21,Products!$B$2:$B$21,,0)</f>
        <v>Desk</v>
      </c>
      <c r="E167" s="1">
        <f>_xlfn.XLOOKUP(D167,Products!$B$2:$B$21,Products!$C$2:$C$21,,0)</f>
        <v>15870</v>
      </c>
      <c r="F167" s="4">
        <f t="shared" si="2"/>
        <v>47610</v>
      </c>
    </row>
    <row r="168" spans="1:6" x14ac:dyDescent="0.3">
      <c r="A168" s="1">
        <v>5167</v>
      </c>
      <c r="B168" s="1">
        <v>18</v>
      </c>
      <c r="C168" s="4">
        <v>5</v>
      </c>
      <c r="D168" s="1" t="str">
        <f>_xlfn.XLOOKUP(B168,Products!$A$2:$A$21,Products!$B$2:$B$21,,0)</f>
        <v>Speaker</v>
      </c>
      <c r="E168" s="1">
        <f>_xlfn.XLOOKUP(D168,Products!$B$2:$B$21,Products!$C$2:$C$21,,0)</f>
        <v>28829</v>
      </c>
      <c r="F168" s="4">
        <f t="shared" si="2"/>
        <v>144145</v>
      </c>
    </row>
    <row r="169" spans="1:6" x14ac:dyDescent="0.3">
      <c r="A169" s="1">
        <v>5168</v>
      </c>
      <c r="B169" s="1">
        <v>9</v>
      </c>
      <c r="C169" s="4">
        <v>1</v>
      </c>
      <c r="D169" s="1" t="str">
        <f>_xlfn.XLOOKUP(B169,Products!$A$2:$A$21,Products!$B$2:$B$21,,0)</f>
        <v>Desk</v>
      </c>
      <c r="E169" s="1">
        <f>_xlfn.XLOOKUP(D169,Products!$B$2:$B$21,Products!$C$2:$C$21,,0)</f>
        <v>15870</v>
      </c>
      <c r="F169" s="4">
        <f t="shared" si="2"/>
        <v>15870</v>
      </c>
    </row>
    <row r="170" spans="1:6" x14ac:dyDescent="0.3">
      <c r="A170" s="1">
        <v>5169</v>
      </c>
      <c r="B170" s="1">
        <v>17</v>
      </c>
      <c r="C170" s="4">
        <v>2</v>
      </c>
      <c r="D170" s="1" t="str">
        <f>_xlfn.XLOOKUP(B170,Products!$A$2:$A$21,Products!$B$2:$B$21,,0)</f>
        <v>TV</v>
      </c>
      <c r="E170" s="1">
        <f>_xlfn.XLOOKUP(D170,Products!$B$2:$B$21,Products!$C$2:$C$21,,0)</f>
        <v>25434</v>
      </c>
      <c r="F170" s="4">
        <f t="shared" si="2"/>
        <v>50868</v>
      </c>
    </row>
    <row r="171" spans="1:6" x14ac:dyDescent="0.3">
      <c r="A171" s="1">
        <v>5170</v>
      </c>
      <c r="B171" s="1">
        <v>19</v>
      </c>
      <c r="C171" s="4">
        <v>4</v>
      </c>
      <c r="D171" s="1" t="str">
        <f>_xlfn.XLOOKUP(B171,Products!$A$2:$A$21,Products!$B$2:$B$21,,0)</f>
        <v>Router</v>
      </c>
      <c r="E171" s="1">
        <f>_xlfn.XLOOKUP(D171,Products!$B$2:$B$21,Products!$C$2:$C$21,,0)</f>
        <v>37165</v>
      </c>
      <c r="F171" s="4">
        <f t="shared" si="2"/>
        <v>148660</v>
      </c>
    </row>
    <row r="172" spans="1:6" x14ac:dyDescent="0.3">
      <c r="A172" s="1">
        <v>5171</v>
      </c>
      <c r="B172" s="1">
        <v>18</v>
      </c>
      <c r="C172" s="4">
        <v>5</v>
      </c>
      <c r="D172" s="1" t="str">
        <f>_xlfn.XLOOKUP(B172,Products!$A$2:$A$21,Products!$B$2:$B$21,,0)</f>
        <v>Speaker</v>
      </c>
      <c r="E172" s="1">
        <f>_xlfn.XLOOKUP(D172,Products!$B$2:$B$21,Products!$C$2:$C$21,,0)</f>
        <v>28829</v>
      </c>
      <c r="F172" s="4">
        <f t="shared" si="2"/>
        <v>144145</v>
      </c>
    </row>
    <row r="173" spans="1:6" x14ac:dyDescent="0.3">
      <c r="A173" s="1">
        <v>5172</v>
      </c>
      <c r="B173" s="1">
        <v>16</v>
      </c>
      <c r="C173" s="4">
        <v>4</v>
      </c>
      <c r="D173" s="1" t="str">
        <f>_xlfn.XLOOKUP(B173,Products!$A$2:$A$21,Products!$B$2:$B$21,,0)</f>
        <v>Watch</v>
      </c>
      <c r="E173" s="1">
        <f>_xlfn.XLOOKUP(D173,Products!$B$2:$B$21,Products!$C$2:$C$21,,0)</f>
        <v>21553</v>
      </c>
      <c r="F173" s="4">
        <f t="shared" si="2"/>
        <v>86212</v>
      </c>
    </row>
    <row r="174" spans="1:6" x14ac:dyDescent="0.3">
      <c r="A174" s="1">
        <v>5173</v>
      </c>
      <c r="B174" s="1">
        <v>10</v>
      </c>
      <c r="C174" s="4">
        <v>5</v>
      </c>
      <c r="D174" s="1" t="str">
        <f>_xlfn.XLOOKUP(B174,Products!$A$2:$A$21,Products!$B$2:$B$21,,0)</f>
        <v>Chair</v>
      </c>
      <c r="E174" s="1">
        <f>_xlfn.XLOOKUP(D174,Products!$B$2:$B$21,Products!$C$2:$C$21,,0)</f>
        <v>18164</v>
      </c>
      <c r="F174" s="4">
        <f t="shared" si="2"/>
        <v>90820</v>
      </c>
    </row>
    <row r="175" spans="1:6" x14ac:dyDescent="0.3">
      <c r="A175" s="1">
        <v>5174</v>
      </c>
      <c r="B175" s="1">
        <v>19</v>
      </c>
      <c r="C175" s="4">
        <v>1</v>
      </c>
      <c r="D175" s="1" t="str">
        <f>_xlfn.XLOOKUP(B175,Products!$A$2:$A$21,Products!$B$2:$B$21,,0)</f>
        <v>Router</v>
      </c>
      <c r="E175" s="1">
        <f>_xlfn.XLOOKUP(D175,Products!$B$2:$B$21,Products!$C$2:$C$21,,0)</f>
        <v>37165</v>
      </c>
      <c r="F175" s="4">
        <f t="shared" si="2"/>
        <v>37165</v>
      </c>
    </row>
    <row r="176" spans="1:6" x14ac:dyDescent="0.3">
      <c r="A176" s="1">
        <v>5175</v>
      </c>
      <c r="B176" s="1">
        <v>1</v>
      </c>
      <c r="C176" s="4">
        <v>3</v>
      </c>
      <c r="D176" s="1" t="str">
        <f>_xlfn.XLOOKUP(B176,Products!$A$2:$A$21,Products!$B$2:$B$21,,0)</f>
        <v>Laptop</v>
      </c>
      <c r="E176" s="1">
        <f>_xlfn.XLOOKUP(D176,Products!$B$2:$B$21,Products!$C$2:$C$21,,0)</f>
        <v>34130</v>
      </c>
      <c r="F176" s="4">
        <f t="shared" si="2"/>
        <v>102390</v>
      </c>
    </row>
    <row r="177" spans="1:6" x14ac:dyDescent="0.3">
      <c r="A177" s="1">
        <v>5176</v>
      </c>
      <c r="B177" s="1">
        <v>8</v>
      </c>
      <c r="C177" s="4">
        <v>1</v>
      </c>
      <c r="D177" s="1" t="str">
        <f>_xlfn.XLOOKUP(B177,Products!$A$2:$A$21,Products!$B$2:$B$21,,0)</f>
        <v>Printer</v>
      </c>
      <c r="E177" s="1">
        <f>_xlfn.XLOOKUP(D177,Products!$B$2:$B$21,Products!$C$2:$C$21,,0)</f>
        <v>31589</v>
      </c>
      <c r="F177" s="4">
        <f t="shared" si="2"/>
        <v>31589</v>
      </c>
    </row>
    <row r="178" spans="1:6" x14ac:dyDescent="0.3">
      <c r="A178" s="1">
        <v>5177</v>
      </c>
      <c r="B178" s="1">
        <v>13</v>
      </c>
      <c r="C178" s="4">
        <v>2</v>
      </c>
      <c r="D178" s="1" t="str">
        <f>_xlfn.XLOOKUP(B178,Products!$A$2:$A$21,Products!$B$2:$B$21,,0)</f>
        <v>Pen</v>
      </c>
      <c r="E178" s="1">
        <f>_xlfn.XLOOKUP(D178,Products!$B$2:$B$21,Products!$C$2:$C$21,,0)</f>
        <v>3900</v>
      </c>
      <c r="F178" s="4">
        <f t="shared" si="2"/>
        <v>7800</v>
      </c>
    </row>
    <row r="179" spans="1:6" x14ac:dyDescent="0.3">
      <c r="A179" s="1">
        <v>5178</v>
      </c>
      <c r="B179" s="1">
        <v>15</v>
      </c>
      <c r="C179" s="4">
        <v>4</v>
      </c>
      <c r="D179" s="1" t="str">
        <f>_xlfn.XLOOKUP(B179,Products!$A$2:$A$21,Products!$B$2:$B$21,,0)</f>
        <v>Bag</v>
      </c>
      <c r="E179" s="1">
        <f>_xlfn.XLOOKUP(D179,Products!$B$2:$B$21,Products!$C$2:$C$21,,0)</f>
        <v>12567</v>
      </c>
      <c r="F179" s="4">
        <f t="shared" si="2"/>
        <v>50268</v>
      </c>
    </row>
    <row r="180" spans="1:6" x14ac:dyDescent="0.3">
      <c r="A180" s="1">
        <v>5179</v>
      </c>
      <c r="B180" s="1">
        <v>9</v>
      </c>
      <c r="C180" s="4">
        <v>2</v>
      </c>
      <c r="D180" s="1" t="str">
        <f>_xlfn.XLOOKUP(B180,Products!$A$2:$A$21,Products!$B$2:$B$21,,0)</f>
        <v>Desk</v>
      </c>
      <c r="E180" s="1">
        <f>_xlfn.XLOOKUP(D180,Products!$B$2:$B$21,Products!$C$2:$C$21,,0)</f>
        <v>15870</v>
      </c>
      <c r="F180" s="4">
        <f t="shared" si="2"/>
        <v>31740</v>
      </c>
    </row>
    <row r="181" spans="1:6" x14ac:dyDescent="0.3">
      <c r="A181" s="1">
        <v>5180</v>
      </c>
      <c r="B181" s="1">
        <v>20</v>
      </c>
      <c r="C181" s="4">
        <v>4</v>
      </c>
      <c r="D181" s="1" t="str">
        <f>_xlfn.XLOOKUP(B181,Products!$A$2:$A$21,Products!$B$2:$B$21,,0)</f>
        <v>SSD</v>
      </c>
      <c r="E181" s="1">
        <f>_xlfn.XLOOKUP(D181,Products!$B$2:$B$21,Products!$C$2:$C$21,,0)</f>
        <v>10724</v>
      </c>
      <c r="F181" s="4">
        <f t="shared" si="2"/>
        <v>42896</v>
      </c>
    </row>
    <row r="182" spans="1:6" x14ac:dyDescent="0.3">
      <c r="A182" s="1">
        <v>5181</v>
      </c>
      <c r="B182" s="1">
        <v>18</v>
      </c>
      <c r="C182" s="4">
        <v>4</v>
      </c>
      <c r="D182" s="1" t="str">
        <f>_xlfn.XLOOKUP(B182,Products!$A$2:$A$21,Products!$B$2:$B$21,,0)</f>
        <v>Speaker</v>
      </c>
      <c r="E182" s="1">
        <f>_xlfn.XLOOKUP(D182,Products!$B$2:$B$21,Products!$C$2:$C$21,,0)</f>
        <v>28829</v>
      </c>
      <c r="F182" s="4">
        <f t="shared" si="2"/>
        <v>115316</v>
      </c>
    </row>
    <row r="183" spans="1:6" x14ac:dyDescent="0.3">
      <c r="A183" s="1">
        <v>5182</v>
      </c>
      <c r="B183" s="1">
        <v>19</v>
      </c>
      <c r="C183" s="4">
        <v>5</v>
      </c>
      <c r="D183" s="1" t="str">
        <f>_xlfn.XLOOKUP(B183,Products!$A$2:$A$21,Products!$B$2:$B$21,,0)</f>
        <v>Router</v>
      </c>
      <c r="E183" s="1">
        <f>_xlfn.XLOOKUP(D183,Products!$B$2:$B$21,Products!$C$2:$C$21,,0)</f>
        <v>37165</v>
      </c>
      <c r="F183" s="4">
        <f t="shared" si="2"/>
        <v>185825</v>
      </c>
    </row>
    <row r="184" spans="1:6" x14ac:dyDescent="0.3">
      <c r="A184" s="1">
        <v>5183</v>
      </c>
      <c r="B184" s="1">
        <v>14</v>
      </c>
      <c r="C184" s="4">
        <v>2</v>
      </c>
      <c r="D184" s="1" t="str">
        <f>_xlfn.XLOOKUP(B184,Products!$A$2:$A$21,Products!$B$2:$B$21,,0)</f>
        <v>Book</v>
      </c>
      <c r="E184" s="1">
        <f>_xlfn.XLOOKUP(D184,Products!$B$2:$B$21,Products!$C$2:$C$21,,0)</f>
        <v>23213</v>
      </c>
      <c r="F184" s="4">
        <f t="shared" si="2"/>
        <v>46426</v>
      </c>
    </row>
    <row r="185" spans="1:6" x14ac:dyDescent="0.3">
      <c r="A185" s="1">
        <v>5184</v>
      </c>
      <c r="B185" s="1">
        <v>13</v>
      </c>
      <c r="C185" s="4">
        <v>1</v>
      </c>
      <c r="D185" s="1" t="str">
        <f>_xlfn.XLOOKUP(B185,Products!$A$2:$A$21,Products!$B$2:$B$21,,0)</f>
        <v>Pen</v>
      </c>
      <c r="E185" s="1">
        <f>_xlfn.XLOOKUP(D185,Products!$B$2:$B$21,Products!$C$2:$C$21,,0)</f>
        <v>3900</v>
      </c>
      <c r="F185" s="4">
        <f t="shared" si="2"/>
        <v>3900</v>
      </c>
    </row>
    <row r="186" spans="1:6" x14ac:dyDescent="0.3">
      <c r="A186" s="1">
        <v>5185</v>
      </c>
      <c r="B186" s="1">
        <v>6</v>
      </c>
      <c r="C186" s="4">
        <v>4</v>
      </c>
      <c r="D186" s="1" t="str">
        <f>_xlfn.XLOOKUP(B186,Products!$A$2:$A$21,Products!$B$2:$B$21,,0)</f>
        <v>Phone</v>
      </c>
      <c r="E186" s="1">
        <f>_xlfn.XLOOKUP(D186,Products!$B$2:$B$21,Products!$C$2:$C$21,,0)</f>
        <v>10250</v>
      </c>
      <c r="F186" s="4">
        <f t="shared" si="2"/>
        <v>41000</v>
      </c>
    </row>
    <row r="187" spans="1:6" x14ac:dyDescent="0.3">
      <c r="A187" s="1">
        <v>5186</v>
      </c>
      <c r="B187" s="1">
        <v>14</v>
      </c>
      <c r="C187" s="4">
        <v>4</v>
      </c>
      <c r="D187" s="1" t="str">
        <f>_xlfn.XLOOKUP(B187,Products!$A$2:$A$21,Products!$B$2:$B$21,,0)</f>
        <v>Book</v>
      </c>
      <c r="E187" s="1">
        <f>_xlfn.XLOOKUP(D187,Products!$B$2:$B$21,Products!$C$2:$C$21,,0)</f>
        <v>23213</v>
      </c>
      <c r="F187" s="4">
        <f t="shared" si="2"/>
        <v>92852</v>
      </c>
    </row>
    <row r="188" spans="1:6" x14ac:dyDescent="0.3">
      <c r="A188" s="1">
        <v>5187</v>
      </c>
      <c r="B188" s="1">
        <v>19</v>
      </c>
      <c r="C188" s="4">
        <v>4</v>
      </c>
      <c r="D188" s="1" t="str">
        <f>_xlfn.XLOOKUP(B188,Products!$A$2:$A$21,Products!$B$2:$B$21,,0)</f>
        <v>Router</v>
      </c>
      <c r="E188" s="1">
        <f>_xlfn.XLOOKUP(D188,Products!$B$2:$B$21,Products!$C$2:$C$21,,0)</f>
        <v>37165</v>
      </c>
      <c r="F188" s="4">
        <f t="shared" si="2"/>
        <v>148660</v>
      </c>
    </row>
    <row r="189" spans="1:6" x14ac:dyDescent="0.3">
      <c r="A189" s="1">
        <v>5188</v>
      </c>
      <c r="B189" s="1">
        <v>7</v>
      </c>
      <c r="C189" s="4">
        <v>5</v>
      </c>
      <c r="D189" s="1" t="str">
        <f>_xlfn.XLOOKUP(B189,Products!$A$2:$A$21,Products!$B$2:$B$21,,0)</f>
        <v>Camera</v>
      </c>
      <c r="E189" s="1">
        <f>_xlfn.XLOOKUP(D189,Products!$B$2:$B$21,Products!$C$2:$C$21,,0)</f>
        <v>34857</v>
      </c>
      <c r="F189" s="4">
        <f t="shared" si="2"/>
        <v>174285</v>
      </c>
    </row>
    <row r="190" spans="1:6" x14ac:dyDescent="0.3">
      <c r="A190" s="1">
        <v>5189</v>
      </c>
      <c r="B190" s="1">
        <v>3</v>
      </c>
      <c r="C190" s="4">
        <v>5</v>
      </c>
      <c r="D190" s="1" t="str">
        <f>_xlfn.XLOOKUP(B190,Products!$A$2:$A$21,Products!$B$2:$B$21,,0)</f>
        <v>Keyboard</v>
      </c>
      <c r="E190" s="1">
        <f>_xlfn.XLOOKUP(D190,Products!$B$2:$B$21,Products!$C$2:$C$21,,0)</f>
        <v>26587</v>
      </c>
      <c r="F190" s="4">
        <f t="shared" si="2"/>
        <v>132935</v>
      </c>
    </row>
    <row r="191" spans="1:6" x14ac:dyDescent="0.3">
      <c r="A191" s="1">
        <v>5190</v>
      </c>
      <c r="B191" s="1">
        <v>11</v>
      </c>
      <c r="C191" s="4">
        <v>1</v>
      </c>
      <c r="D191" s="1" t="str">
        <f>_xlfn.XLOOKUP(B191,Products!$A$2:$A$21,Products!$B$2:$B$21,,0)</f>
        <v>Fan</v>
      </c>
      <c r="E191" s="1">
        <f>_xlfn.XLOOKUP(D191,Products!$B$2:$B$21,Products!$C$2:$C$21,,0)</f>
        <v>45046</v>
      </c>
      <c r="F191" s="4">
        <f t="shared" si="2"/>
        <v>45046</v>
      </c>
    </row>
    <row r="192" spans="1:6" x14ac:dyDescent="0.3">
      <c r="A192" s="1">
        <v>5191</v>
      </c>
      <c r="B192" s="1">
        <v>14</v>
      </c>
      <c r="C192" s="4">
        <v>5</v>
      </c>
      <c r="D192" s="1" t="str">
        <f>_xlfn.XLOOKUP(B192,Products!$A$2:$A$21,Products!$B$2:$B$21,,0)</f>
        <v>Book</v>
      </c>
      <c r="E192" s="1">
        <f>_xlfn.XLOOKUP(D192,Products!$B$2:$B$21,Products!$C$2:$C$21,,0)</f>
        <v>23213</v>
      </c>
      <c r="F192" s="4">
        <f t="shared" si="2"/>
        <v>116065</v>
      </c>
    </row>
    <row r="193" spans="1:6" x14ac:dyDescent="0.3">
      <c r="A193" s="1">
        <v>5192</v>
      </c>
      <c r="B193" s="1">
        <v>17</v>
      </c>
      <c r="C193" s="4">
        <v>2</v>
      </c>
      <c r="D193" s="1" t="str">
        <f>_xlfn.XLOOKUP(B193,Products!$A$2:$A$21,Products!$B$2:$B$21,,0)</f>
        <v>TV</v>
      </c>
      <c r="E193" s="1">
        <f>_xlfn.XLOOKUP(D193,Products!$B$2:$B$21,Products!$C$2:$C$21,,0)</f>
        <v>25434</v>
      </c>
      <c r="F193" s="4">
        <f t="shared" si="2"/>
        <v>50868</v>
      </c>
    </row>
    <row r="194" spans="1:6" x14ac:dyDescent="0.3">
      <c r="A194" s="1">
        <v>5193</v>
      </c>
      <c r="B194" s="1">
        <v>19</v>
      </c>
      <c r="C194" s="4">
        <v>1</v>
      </c>
      <c r="D194" s="1" t="str">
        <f>_xlfn.XLOOKUP(B194,Products!$A$2:$A$21,Products!$B$2:$B$21,,0)</f>
        <v>Router</v>
      </c>
      <c r="E194" s="1">
        <f>_xlfn.XLOOKUP(D194,Products!$B$2:$B$21,Products!$C$2:$C$21,,0)</f>
        <v>37165</v>
      </c>
      <c r="F194" s="4">
        <f t="shared" si="2"/>
        <v>37165</v>
      </c>
    </row>
    <row r="195" spans="1:6" x14ac:dyDescent="0.3">
      <c r="A195" s="1">
        <v>5194</v>
      </c>
      <c r="B195" s="1">
        <v>15</v>
      </c>
      <c r="C195" s="4">
        <v>1</v>
      </c>
      <c r="D195" s="1" t="str">
        <f>_xlfn.XLOOKUP(B195,Products!$A$2:$A$21,Products!$B$2:$B$21,,0)</f>
        <v>Bag</v>
      </c>
      <c r="E195" s="1">
        <f>_xlfn.XLOOKUP(D195,Products!$B$2:$B$21,Products!$C$2:$C$21,,0)</f>
        <v>12567</v>
      </c>
      <c r="F195" s="4">
        <f t="shared" ref="F195:F201" si="3">C195*E195</f>
        <v>12567</v>
      </c>
    </row>
    <row r="196" spans="1:6" x14ac:dyDescent="0.3">
      <c r="A196" s="1">
        <v>5195</v>
      </c>
      <c r="B196" s="1">
        <v>13</v>
      </c>
      <c r="C196" s="4">
        <v>2</v>
      </c>
      <c r="D196" s="1" t="str">
        <f>_xlfn.XLOOKUP(B196,Products!$A$2:$A$21,Products!$B$2:$B$21,,0)</f>
        <v>Pen</v>
      </c>
      <c r="E196" s="1">
        <f>_xlfn.XLOOKUP(D196,Products!$B$2:$B$21,Products!$C$2:$C$21,,0)</f>
        <v>3900</v>
      </c>
      <c r="F196" s="4">
        <f t="shared" si="3"/>
        <v>7800</v>
      </c>
    </row>
    <row r="197" spans="1:6" x14ac:dyDescent="0.3">
      <c r="A197" s="1">
        <v>5196</v>
      </c>
      <c r="B197" s="1">
        <v>5</v>
      </c>
      <c r="C197" s="4">
        <v>4</v>
      </c>
      <c r="D197" s="1" t="str">
        <f>_xlfn.XLOOKUP(B197,Products!$A$2:$A$21,Products!$B$2:$B$21,,0)</f>
        <v>Tablet</v>
      </c>
      <c r="E197" s="1">
        <f>_xlfn.XLOOKUP(D197,Products!$B$2:$B$21,Products!$C$2:$C$21,,0)</f>
        <v>13509</v>
      </c>
      <c r="F197" s="4">
        <f t="shared" si="3"/>
        <v>54036</v>
      </c>
    </row>
    <row r="198" spans="1:6" x14ac:dyDescent="0.3">
      <c r="A198" s="1">
        <v>5197</v>
      </c>
      <c r="B198" s="1">
        <v>1</v>
      </c>
      <c r="C198" s="4">
        <v>2</v>
      </c>
      <c r="D198" s="1" t="str">
        <f>_xlfn.XLOOKUP(B198,Products!$A$2:$A$21,Products!$B$2:$B$21,,0)</f>
        <v>Laptop</v>
      </c>
      <c r="E198" s="1">
        <f>_xlfn.XLOOKUP(D198,Products!$B$2:$B$21,Products!$C$2:$C$21,,0)</f>
        <v>34130</v>
      </c>
      <c r="F198" s="4">
        <f t="shared" si="3"/>
        <v>68260</v>
      </c>
    </row>
    <row r="199" spans="1:6" x14ac:dyDescent="0.3">
      <c r="A199" s="1">
        <v>5198</v>
      </c>
      <c r="B199" s="1">
        <v>15</v>
      </c>
      <c r="C199" s="4">
        <v>3</v>
      </c>
      <c r="D199" s="1" t="str">
        <f>_xlfn.XLOOKUP(B199,Products!$A$2:$A$21,Products!$B$2:$B$21,,0)</f>
        <v>Bag</v>
      </c>
      <c r="E199" s="1">
        <f>_xlfn.XLOOKUP(D199,Products!$B$2:$B$21,Products!$C$2:$C$21,,0)</f>
        <v>12567</v>
      </c>
      <c r="F199" s="4">
        <f t="shared" si="3"/>
        <v>37701</v>
      </c>
    </row>
    <row r="200" spans="1:6" x14ac:dyDescent="0.3">
      <c r="A200" s="1">
        <v>5199</v>
      </c>
      <c r="B200" s="1">
        <v>18</v>
      </c>
      <c r="C200" s="4">
        <v>1</v>
      </c>
      <c r="D200" s="1" t="str">
        <f>_xlfn.XLOOKUP(B200,Products!$A$2:$A$21,Products!$B$2:$B$21,,0)</f>
        <v>Speaker</v>
      </c>
      <c r="E200" s="1">
        <f>_xlfn.XLOOKUP(D200,Products!$B$2:$B$21,Products!$C$2:$C$21,,0)</f>
        <v>28829</v>
      </c>
      <c r="F200" s="4">
        <f t="shared" si="3"/>
        <v>28829</v>
      </c>
    </row>
    <row r="201" spans="1:6" x14ac:dyDescent="0.3">
      <c r="A201" s="1">
        <v>5200</v>
      </c>
      <c r="B201" s="1">
        <v>12</v>
      </c>
      <c r="C201" s="4">
        <v>4</v>
      </c>
      <c r="D201" s="1" t="str">
        <f>_xlfn.XLOOKUP(B201,Products!$A$2:$A$21,Products!$B$2:$B$21,,0)</f>
        <v>AC</v>
      </c>
      <c r="E201" s="1">
        <f>_xlfn.XLOOKUP(D201,Products!$B$2:$B$21,Products!$C$2:$C$21,,0)</f>
        <v>32456</v>
      </c>
      <c r="F201" s="4">
        <f t="shared" si="3"/>
        <v>129824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Orders(orignal_ds)</vt:lpstr>
      <vt:lpstr>Products</vt:lpstr>
      <vt:lpstr>xlookup</vt:lpstr>
      <vt:lpstr>Static</vt:lpstr>
      <vt:lpstr>Error_message</vt:lpstr>
      <vt:lpstr>Xlookup_mul_returns</vt:lpstr>
      <vt:lpstr>product_deatials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2026-03-18T10:30:13Z</dcterms:created>
  <dcterms:modified xsi:type="dcterms:W3CDTF">2026-03-18T11:27:03Z</dcterms:modified>
</cp:coreProperties>
</file>