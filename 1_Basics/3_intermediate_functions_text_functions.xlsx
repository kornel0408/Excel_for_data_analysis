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351d28db509a5b/EXCEL/"/>
    </mc:Choice>
  </mc:AlternateContent>
  <xr:revisionPtr revIDLastSave="0" documentId="8_{20651305-51CC-4DB3-B276-23A31CECBC8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iginal_dataset" sheetId="1" r:id="rId1"/>
    <sheet name="intermediate()" sheetId="2" r:id="rId2"/>
    <sheet name="if()_with_and()_or()" sheetId="3" r:id="rId3"/>
    <sheet name="text_fun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" i="5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" i="3"/>
  <c r="J3" i="3" a="1"/>
  <c r="J3" i="3" s="1"/>
  <c r="J4" i="3" a="1"/>
  <c r="J4" i="3" s="1"/>
  <c r="J5" i="3" a="1"/>
  <c r="J5" i="3"/>
  <c r="J6" i="3" a="1"/>
  <c r="J6" i="3"/>
  <c r="J7" i="3" a="1"/>
  <c r="J7" i="3"/>
  <c r="J8" i="3" a="1"/>
  <c r="J8" i="3"/>
  <c r="J9" i="3" a="1"/>
  <c r="J9" i="3" s="1"/>
  <c r="J10" i="3" a="1"/>
  <c r="J10" i="3" s="1"/>
  <c r="J11" i="3" a="1"/>
  <c r="J11" i="3"/>
  <c r="J12" i="3" a="1"/>
  <c r="J12" i="3"/>
  <c r="J13" i="3" a="1"/>
  <c r="J13" i="3"/>
  <c r="J14" i="3" a="1"/>
  <c r="J14" i="3"/>
  <c r="J15" i="3" a="1"/>
  <c r="J15" i="3" s="1"/>
  <c r="J16" i="3" a="1"/>
  <c r="J16" i="3" s="1"/>
  <c r="J17" i="3" a="1"/>
  <c r="J17" i="3"/>
  <c r="J18" i="3" a="1"/>
  <c r="J18" i="3"/>
  <c r="J19" i="3" a="1"/>
  <c r="J19" i="3"/>
  <c r="J20" i="3" a="1"/>
  <c r="J20" i="3"/>
  <c r="J21" i="3" a="1"/>
  <c r="J21" i="3" s="1"/>
  <c r="J22" i="3" a="1"/>
  <c r="J22" i="3" s="1"/>
  <c r="J23" i="3" a="1"/>
  <c r="J23" i="3"/>
  <c r="J24" i="3" a="1"/>
  <c r="J24" i="3"/>
  <c r="J25" i="3" a="1"/>
  <c r="J25" i="3"/>
  <c r="J26" i="3" a="1"/>
  <c r="J26" i="3"/>
  <c r="J27" i="3" a="1"/>
  <c r="J27" i="3" s="1"/>
  <c r="J28" i="3" a="1"/>
  <c r="J28" i="3" s="1"/>
  <c r="J29" i="3" a="1"/>
  <c r="J29" i="3"/>
  <c r="J30" i="3" a="1"/>
  <c r="J30" i="3"/>
  <c r="J31" i="3" a="1"/>
  <c r="J31" i="3"/>
  <c r="J32" i="3" a="1"/>
  <c r="J32" i="3"/>
  <c r="J33" i="3" a="1"/>
  <c r="J33" i="3" s="1"/>
  <c r="J34" i="3" a="1"/>
  <c r="J34" i="3" s="1"/>
  <c r="J35" i="3" a="1"/>
  <c r="J35" i="3"/>
  <c r="J36" i="3" a="1"/>
  <c r="J36" i="3"/>
  <c r="J37" i="3" a="1"/>
  <c r="J37" i="3"/>
  <c r="J38" i="3" a="1"/>
  <c r="J38" i="3"/>
  <c r="J39" i="3" a="1"/>
  <c r="J39" i="3" s="1"/>
  <c r="J40" i="3" a="1"/>
  <c r="J40" i="3" s="1"/>
  <c r="J41" i="3" a="1"/>
  <c r="J41" i="3"/>
  <c r="J42" i="3" a="1"/>
  <c r="J42" i="3"/>
  <c r="J43" i="3" a="1"/>
  <c r="J43" i="3"/>
  <c r="J44" i="3" a="1"/>
  <c r="J44" i="3"/>
  <c r="J45" i="3" a="1"/>
  <c r="J45" i="3" s="1"/>
  <c r="J46" i="3" a="1"/>
  <c r="J46" i="3" s="1"/>
  <c r="J47" i="3" a="1"/>
  <c r="J47" i="3"/>
  <c r="J48" i="3" a="1"/>
  <c r="J48" i="3"/>
  <c r="J49" i="3" a="1"/>
  <c r="J49" i="3"/>
  <c r="J50" i="3" a="1"/>
  <c r="J50" i="3"/>
  <c r="J51" i="3" a="1"/>
  <c r="J51" i="3" s="1"/>
  <c r="J52" i="3" a="1"/>
  <c r="J52" i="3" s="1"/>
  <c r="J53" i="3" a="1"/>
  <c r="J53" i="3"/>
  <c r="J54" i="3" a="1"/>
  <c r="J54" i="3"/>
  <c r="J55" i="3" a="1"/>
  <c r="J55" i="3"/>
  <c r="J56" i="3" a="1"/>
  <c r="J56" i="3"/>
  <c r="J57" i="3" a="1"/>
  <c r="J57" i="3" s="1"/>
  <c r="J58" i="3" a="1"/>
  <c r="J58" i="3" s="1"/>
  <c r="J59" i="3" a="1"/>
  <c r="J59" i="3"/>
  <c r="J60" i="3" a="1"/>
  <c r="J60" i="3"/>
  <c r="J61" i="3" a="1"/>
  <c r="J61" i="3"/>
  <c r="J62" i="3" a="1"/>
  <c r="J62" i="3"/>
  <c r="J63" i="3" a="1"/>
  <c r="J63" i="3" s="1"/>
  <c r="J64" i="3" a="1"/>
  <c r="J64" i="3" s="1"/>
  <c r="J65" i="3" a="1"/>
  <c r="J65" i="3"/>
  <c r="J66" i="3" a="1"/>
  <c r="J66" i="3"/>
  <c r="J67" i="3" a="1"/>
  <c r="J67" i="3"/>
  <c r="J68" i="3" a="1"/>
  <c r="J68" i="3"/>
  <c r="J69" i="3" a="1"/>
  <c r="J69" i="3" s="1"/>
  <c r="J70" i="3" a="1"/>
  <c r="J70" i="3" s="1"/>
  <c r="J71" i="3" a="1"/>
  <c r="J71" i="3"/>
  <c r="J72" i="3" a="1"/>
  <c r="J72" i="3"/>
  <c r="J73" i="3" a="1"/>
  <c r="J73" i="3"/>
  <c r="J74" i="3" a="1"/>
  <c r="J74" i="3"/>
  <c r="J75" i="3" a="1"/>
  <c r="J75" i="3" s="1"/>
  <c r="J76" i="3" a="1"/>
  <c r="J76" i="3" s="1"/>
  <c r="J77" i="3" a="1"/>
  <c r="J77" i="3"/>
  <c r="J78" i="3" a="1"/>
  <c r="J78" i="3"/>
  <c r="J79" i="3" a="1"/>
  <c r="J79" i="3"/>
  <c r="J80" i="3" a="1"/>
  <c r="J80" i="3"/>
  <c r="J81" i="3" a="1"/>
  <c r="J81" i="3" s="1"/>
  <c r="J82" i="3" a="1"/>
  <c r="J82" i="3" s="1"/>
  <c r="J83" i="3" a="1"/>
  <c r="J83" i="3"/>
  <c r="J84" i="3" a="1"/>
  <c r="J84" i="3"/>
  <c r="J85" i="3" a="1"/>
  <c r="J85" i="3"/>
  <c r="J86" i="3" a="1"/>
  <c r="J86" i="3"/>
  <c r="J87" i="3" a="1"/>
  <c r="J87" i="3" s="1"/>
  <c r="J88" i="3" a="1"/>
  <c r="J88" i="3" s="1"/>
  <c r="J89" i="3" a="1"/>
  <c r="J89" i="3"/>
  <c r="J90" i="3" a="1"/>
  <c r="J90" i="3"/>
  <c r="J91" i="3" a="1"/>
  <c r="J91" i="3"/>
  <c r="J92" i="3" a="1"/>
  <c r="J92" i="3"/>
  <c r="J93" i="3" a="1"/>
  <c r="J93" i="3" s="1"/>
  <c r="J94" i="3" a="1"/>
  <c r="J94" i="3" s="1"/>
  <c r="J95" i="3" a="1"/>
  <c r="J95" i="3"/>
  <c r="J96" i="3" a="1"/>
  <c r="J96" i="3"/>
  <c r="J97" i="3" a="1"/>
  <c r="J97" i="3"/>
  <c r="J98" i="3" a="1"/>
  <c r="J98" i="3"/>
  <c r="J99" i="3" a="1"/>
  <c r="J99" i="3" s="1"/>
  <c r="J100" i="3" a="1"/>
  <c r="J100" i="3" s="1"/>
  <c r="J101" i="3" a="1"/>
  <c r="J101" i="3"/>
  <c r="J102" i="3" a="1"/>
  <c r="J102" i="3"/>
  <c r="J103" i="3" a="1"/>
  <c r="J103" i="3"/>
  <c r="J104" i="3" a="1"/>
  <c r="J104" i="3"/>
  <c r="J105" i="3" a="1"/>
  <c r="J105" i="3" s="1"/>
  <c r="J106" i="3" a="1"/>
  <c r="J106" i="3" s="1"/>
  <c r="J107" i="3" a="1"/>
  <c r="J107" i="3"/>
  <c r="J108" i="3" a="1"/>
  <c r="J108" i="3"/>
  <c r="J109" i="3" a="1"/>
  <c r="J109" i="3"/>
  <c r="J110" i="3" a="1"/>
  <c r="J110" i="3"/>
  <c r="J111" i="3" a="1"/>
  <c r="J111" i="3" s="1"/>
  <c r="J112" i="3" a="1"/>
  <c r="J112" i="3" s="1"/>
  <c r="J113" i="3" a="1"/>
  <c r="J113" i="3"/>
  <c r="J114" i="3" a="1"/>
  <c r="J114" i="3"/>
  <c r="J115" i="3" a="1"/>
  <c r="J115" i="3"/>
  <c r="J116" i="3" a="1"/>
  <c r="J116" i="3"/>
  <c r="J117" i="3" a="1"/>
  <c r="J117" i="3" s="1"/>
  <c r="J118" i="3" a="1"/>
  <c r="J118" i="3" s="1"/>
  <c r="J119" i="3" a="1"/>
  <c r="J119" i="3"/>
  <c r="J120" i="3" a="1"/>
  <c r="J120" i="3"/>
  <c r="J121" i="3" a="1"/>
  <c r="J121" i="3"/>
  <c r="J122" i="3" a="1"/>
  <c r="J122" i="3"/>
  <c r="J123" i="3" a="1"/>
  <c r="J123" i="3" s="1"/>
  <c r="J124" i="3" a="1"/>
  <c r="J124" i="3" s="1"/>
  <c r="J125" i="3" a="1"/>
  <c r="J125" i="3"/>
  <c r="J126" i="3" a="1"/>
  <c r="J126" i="3"/>
  <c r="J127" i="3" a="1"/>
  <c r="J127" i="3"/>
  <c r="J128" i="3" a="1"/>
  <c r="J128" i="3"/>
  <c r="J129" i="3" a="1"/>
  <c r="J129" i="3" s="1"/>
  <c r="J130" i="3" a="1"/>
  <c r="J130" i="3" s="1"/>
  <c r="J131" i="3" a="1"/>
  <c r="J131" i="3"/>
  <c r="J132" i="3" a="1"/>
  <c r="J132" i="3"/>
  <c r="J133" i="3" a="1"/>
  <c r="J133" i="3"/>
  <c r="J134" i="3" a="1"/>
  <c r="J134" i="3"/>
  <c r="J135" i="3" a="1"/>
  <c r="J135" i="3" s="1"/>
  <c r="J136" i="3" a="1"/>
  <c r="J136" i="3" s="1"/>
  <c r="J137" i="3" a="1"/>
  <c r="J137" i="3"/>
  <c r="J138" i="3" a="1"/>
  <c r="J138" i="3"/>
  <c r="J139" i="3" a="1"/>
  <c r="J139" i="3"/>
  <c r="J140" i="3" a="1"/>
  <c r="J140" i="3"/>
  <c r="J141" i="3" a="1"/>
  <c r="J141" i="3" s="1"/>
  <c r="J142" i="3" a="1"/>
  <c r="J142" i="3" s="1"/>
  <c r="J143" i="3" a="1"/>
  <c r="J143" i="3"/>
  <c r="J144" i="3" a="1"/>
  <c r="J144" i="3"/>
  <c r="J145" i="3" a="1"/>
  <c r="J145" i="3"/>
  <c r="J146" i="3" a="1"/>
  <c r="J146" i="3"/>
  <c r="J147" i="3" a="1"/>
  <c r="J147" i="3" s="1"/>
  <c r="J148" i="3" a="1"/>
  <c r="J148" i="3" s="1"/>
  <c r="J149" i="3" a="1"/>
  <c r="J149" i="3"/>
  <c r="J150" i="3" a="1"/>
  <c r="J150" i="3"/>
  <c r="J151" i="3" a="1"/>
  <c r="J151" i="3"/>
  <c r="J152" i="3" a="1"/>
  <c r="J152" i="3"/>
  <c r="J153" i="3" a="1"/>
  <c r="J153" i="3" s="1"/>
  <c r="J154" i="3" a="1"/>
  <c r="J154" i="3" s="1"/>
  <c r="J155" i="3" a="1"/>
  <c r="J155" i="3"/>
  <c r="J156" i="3" a="1"/>
  <c r="J156" i="3"/>
  <c r="J157" i="3" a="1"/>
  <c r="J157" i="3"/>
  <c r="J158" i="3" a="1"/>
  <c r="J158" i="3"/>
  <c r="J159" i="3" a="1"/>
  <c r="J159" i="3" s="1"/>
  <c r="J160" i="3" a="1"/>
  <c r="J160" i="3" s="1"/>
  <c r="J161" i="3" a="1"/>
  <c r="J161" i="3"/>
  <c r="J162" i="3" a="1"/>
  <c r="J162" i="3"/>
  <c r="J163" i="3" a="1"/>
  <c r="J163" i="3"/>
  <c r="J164" i="3" a="1"/>
  <c r="J164" i="3"/>
  <c r="J165" i="3" a="1"/>
  <c r="J165" i="3" s="1"/>
  <c r="J166" i="3" a="1"/>
  <c r="J166" i="3" s="1"/>
  <c r="J167" i="3" a="1"/>
  <c r="J167" i="3"/>
  <c r="J168" i="3" a="1"/>
  <c r="J168" i="3"/>
  <c r="J169" i="3" a="1"/>
  <c r="J169" i="3"/>
  <c r="J170" i="3" a="1"/>
  <c r="J170" i="3"/>
  <c r="J171" i="3" a="1"/>
  <c r="J171" i="3" s="1"/>
  <c r="J172" i="3" a="1"/>
  <c r="J172" i="3" s="1"/>
  <c r="J173" i="3" a="1"/>
  <c r="J173" i="3"/>
  <c r="J174" i="3" a="1"/>
  <c r="J174" i="3"/>
  <c r="J175" i="3" a="1"/>
  <c r="J175" i="3"/>
  <c r="J176" i="3" a="1"/>
  <c r="J176" i="3"/>
  <c r="J177" i="3" a="1"/>
  <c r="J177" i="3" s="1"/>
  <c r="J178" i="3" a="1"/>
  <c r="J178" i="3" s="1"/>
  <c r="J179" i="3" a="1"/>
  <c r="J179" i="3"/>
  <c r="J180" i="3" a="1"/>
  <c r="J180" i="3"/>
  <c r="J181" i="3" a="1"/>
  <c r="J181" i="3"/>
  <c r="J182" i="3" a="1"/>
  <c r="J182" i="3"/>
  <c r="J183" i="3" a="1"/>
  <c r="J183" i="3" s="1"/>
  <c r="J184" i="3" a="1"/>
  <c r="J184" i="3" s="1"/>
  <c r="J185" i="3" a="1"/>
  <c r="J185" i="3"/>
  <c r="J186" i="3" a="1"/>
  <c r="J186" i="3"/>
  <c r="J187" i="3" a="1"/>
  <c r="J187" i="3"/>
  <c r="J188" i="3" a="1"/>
  <c r="J188" i="3"/>
  <c r="J189" i="3" a="1"/>
  <c r="J189" i="3" s="1"/>
  <c r="J190" i="3" a="1"/>
  <c r="J190" i="3" s="1"/>
  <c r="J191" i="3" a="1"/>
  <c r="J191" i="3"/>
  <c r="J192" i="3" a="1"/>
  <c r="J192" i="3"/>
  <c r="J193" i="3" a="1"/>
  <c r="J193" i="3"/>
  <c r="J194" i="3" a="1"/>
  <c r="J194" i="3"/>
  <c r="J195" i="3" a="1"/>
  <c r="J195" i="3" s="1"/>
  <c r="J196" i="3" a="1"/>
  <c r="J196" i="3" s="1"/>
  <c r="J197" i="3" a="1"/>
  <c r="J197" i="3"/>
  <c r="J198" i="3" a="1"/>
  <c r="J198" i="3"/>
  <c r="J199" i="3" a="1"/>
  <c r="J199" i="3"/>
  <c r="J200" i="3" a="1"/>
  <c r="J200" i="3"/>
  <c r="J201" i="3" a="1"/>
  <c r="J201" i="3" s="1"/>
  <c r="J2" i="3" a="1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" i="3"/>
  <c r="O15" i="2"/>
  <c r="M33" i="2"/>
  <c r="M29" i="2"/>
  <c r="O23" i="2"/>
  <c r="O24" i="2"/>
  <c r="O25" i="2"/>
  <c r="N22" i="2" a="1"/>
  <c r="N22" i="2" s="1"/>
  <c r="O22" i="2" s="1"/>
  <c r="N15" i="2" a="1"/>
  <c r="N15" i="2" s="1"/>
  <c r="M7" i="2" a="1"/>
  <c r="M7" i="2" s="1"/>
  <c r="N7" i="2" s="1"/>
  <c r="N10" i="2" l="1"/>
  <c r="N8" i="2"/>
  <c r="O18" i="2"/>
  <c r="N9" i="2"/>
  <c r="O17" i="2"/>
  <c r="O1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<sst xmlns="http://schemas.openxmlformats.org/spreadsheetml/2006/main" count="2453" uniqueCount="57">
  <si>
    <t>Emp_ID</t>
  </si>
  <si>
    <t>Name</t>
  </si>
  <si>
    <t>Department</t>
  </si>
  <si>
    <t>Region</t>
  </si>
  <si>
    <t>Salary</t>
  </si>
  <si>
    <t>Bonus</t>
  </si>
  <si>
    <t>Experience_Years</t>
  </si>
  <si>
    <t>John</t>
  </si>
  <si>
    <t>IT</t>
  </si>
  <si>
    <t>South</t>
  </si>
  <si>
    <t>Meena</t>
  </si>
  <si>
    <t>Finance</t>
  </si>
  <si>
    <t>West</t>
  </si>
  <si>
    <t>Teja</t>
  </si>
  <si>
    <t>HR</t>
  </si>
  <si>
    <t>East</t>
  </si>
  <si>
    <t>Farhan</t>
  </si>
  <si>
    <t>Kiran</t>
  </si>
  <si>
    <t>Nikhil</t>
  </si>
  <si>
    <t>Sales</t>
  </si>
  <si>
    <t>Giri</t>
  </si>
  <si>
    <t>North</t>
  </si>
  <si>
    <t>Latha</t>
  </si>
  <si>
    <t>Varun</t>
  </si>
  <si>
    <t>Bala</t>
  </si>
  <si>
    <t>Sara</t>
  </si>
  <si>
    <t>Charan</t>
  </si>
  <si>
    <t>Hema</t>
  </si>
  <si>
    <t>Ravi</t>
  </si>
  <si>
    <t>Esha</t>
  </si>
  <si>
    <t>Irfan</t>
  </si>
  <si>
    <t>Om</t>
  </si>
  <si>
    <t>Pooja</t>
  </si>
  <si>
    <t>David</t>
  </si>
  <si>
    <t>Arun</t>
  </si>
  <si>
    <t>e</t>
  </si>
  <si>
    <t>Count_of_employes by region</t>
  </si>
  <si>
    <t>Total_employees</t>
  </si>
  <si>
    <t>count of employees in all department where salary &gt; 50000</t>
  </si>
  <si>
    <t>count</t>
  </si>
  <si>
    <t>Total_salary_of_all_departments</t>
  </si>
  <si>
    <t>Total_salary</t>
  </si>
  <si>
    <t>Count employees in HR and South region</t>
  </si>
  <si>
    <t>Sum salary where Region = East and Salary &gt; 30000</t>
  </si>
  <si>
    <t>Senior/Junior</t>
  </si>
  <si>
    <t>Main/other</t>
  </si>
  <si>
    <t>Salary_range</t>
  </si>
  <si>
    <t>Good/Average Salary</t>
  </si>
  <si>
    <t>First_2_letters_from name</t>
  </si>
  <si>
    <t>last_2 letters_of_Name</t>
  </si>
  <si>
    <t>total_letter_in_name</t>
  </si>
  <si>
    <t>UPPERCASE</t>
  </si>
  <si>
    <t>lowercase</t>
  </si>
  <si>
    <t xml:space="preserve"> trimming</t>
  </si>
  <si>
    <t>name + department</t>
  </si>
  <si>
    <t>Substitute()</t>
  </si>
  <si>
    <t>mid()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</si>
</sst>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0" xfId="0" applyAlignment="1"/>
    <xf numFmtId="0" fontId="2" fillId="2" borderId="4" xfId="1" applyFont="1" applyBorder="1" applyAlignment="1">
      <alignment horizontal="center"/>
    </xf>
    <xf numFmtId="0" fontId="2" fillId="2" borderId="5" xfId="1" applyFont="1" applyBorder="1" applyAlignment="1">
      <alignment horizontal="center"/>
    </xf>
    <xf numFmtId="0" fontId="2" fillId="3" borderId="2" xfId="2" applyFont="1" applyBorder="1" applyAlignment="1">
      <alignment horizontal="center"/>
    </xf>
    <xf numFmtId="0" fontId="2" fillId="3" borderId="7" xfId="2" applyFont="1" applyBorder="1" applyAlignment="1">
      <alignment horizontal="center"/>
    </xf>
    <xf numFmtId="0" fontId="2" fillId="3" borderId="3" xfId="2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0" borderId="6" xfId="0" applyFont="1" applyBorder="1" applyAlignment="1">
      <alignment horizontal="left"/>
    </xf>
    <xf numFmtId="0" fontId="2" fillId="4" borderId="2" xfId="3" applyFont="1" applyBorder="1" applyAlignment="1">
      <alignment horizontal="center"/>
    </xf>
    <xf numFmtId="0" fontId="2" fillId="4" borderId="7" xfId="3" applyFont="1" applyBorder="1" applyAlignment="1">
      <alignment horizontal="center"/>
    </xf>
    <xf numFmtId="0" fontId="2" fillId="4" borderId="3" xfId="3" applyFont="1" applyBorder="1" applyAlignment="1">
      <alignment horizontal="center"/>
    </xf>
    <xf numFmtId="0" fontId="2" fillId="4" borderId="8" xfId="3" applyFont="1" applyBorder="1" applyAlignment="1">
      <alignment horizontal="center"/>
    </xf>
    <xf numFmtId="0" fontId="3" fillId="0" borderId="1" xfId="0" applyFont="1" applyBorder="1"/>
    <xf numFmtId="168" fontId="0" fillId="0" borderId="1" xfId="0" applyNumberFormat="1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168" fontId="0" fillId="0" borderId="2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0" fontId="0" fillId="0" borderId="9" xfId="0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4">
    <cellStyle name="20% - Accent5" xfId="1" builtinId="46"/>
    <cellStyle name="40% - Accent5" xfId="2" builtinId="47"/>
    <cellStyle name="60% - Accent5" xfId="3" builtinId="4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opLeftCell="A175" workbookViewId="0">
      <selection activeCell="E197" sqref="E19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t="s">
        <v>7</v>
      </c>
      <c r="C2" t="s">
        <v>8</v>
      </c>
      <c r="D2" t="s">
        <v>9</v>
      </c>
      <c r="E2">
        <v>50226</v>
      </c>
      <c r="F2">
        <v>5581</v>
      </c>
      <c r="G2">
        <v>4</v>
      </c>
    </row>
    <row r="3" spans="1:7" x14ac:dyDescent="0.3">
      <c r="A3">
        <v>1002</v>
      </c>
      <c r="B3" t="s">
        <v>10</v>
      </c>
      <c r="C3" t="s">
        <v>11</v>
      </c>
      <c r="D3" t="s">
        <v>12</v>
      </c>
      <c r="E3">
        <v>20625</v>
      </c>
      <c r="F3">
        <v>6504</v>
      </c>
      <c r="G3">
        <v>8</v>
      </c>
    </row>
    <row r="4" spans="1:7" x14ac:dyDescent="0.3">
      <c r="A4">
        <v>1003</v>
      </c>
      <c r="B4" t="s">
        <v>13</v>
      </c>
      <c r="C4" t="s">
        <v>14</v>
      </c>
      <c r="D4" t="s">
        <v>15</v>
      </c>
      <c r="E4">
        <v>54226</v>
      </c>
      <c r="F4">
        <v>8405</v>
      </c>
      <c r="G4">
        <v>1</v>
      </c>
    </row>
    <row r="5" spans="1:7" x14ac:dyDescent="0.3">
      <c r="A5">
        <v>1004</v>
      </c>
      <c r="B5" t="s">
        <v>16</v>
      </c>
      <c r="C5" t="s">
        <v>14</v>
      </c>
      <c r="D5" t="s">
        <v>12</v>
      </c>
      <c r="E5">
        <v>20937</v>
      </c>
      <c r="F5">
        <v>9217</v>
      </c>
      <c r="G5">
        <v>3</v>
      </c>
    </row>
    <row r="6" spans="1:7" x14ac:dyDescent="0.3">
      <c r="A6">
        <v>1005</v>
      </c>
      <c r="B6" t="s">
        <v>17</v>
      </c>
      <c r="C6" t="s">
        <v>8</v>
      </c>
      <c r="D6" t="s">
        <v>9</v>
      </c>
      <c r="E6">
        <v>76227</v>
      </c>
      <c r="F6">
        <v>7057</v>
      </c>
      <c r="G6">
        <v>5</v>
      </c>
    </row>
    <row r="7" spans="1:7" x14ac:dyDescent="0.3">
      <c r="A7">
        <v>1006</v>
      </c>
      <c r="B7" t="s">
        <v>18</v>
      </c>
      <c r="C7" t="s">
        <v>11</v>
      </c>
      <c r="D7" t="s">
        <v>12</v>
      </c>
      <c r="E7">
        <v>67297</v>
      </c>
      <c r="F7">
        <v>8259</v>
      </c>
      <c r="G7">
        <v>8</v>
      </c>
    </row>
    <row r="8" spans="1:7" x14ac:dyDescent="0.3">
      <c r="A8">
        <v>1007</v>
      </c>
      <c r="B8" t="s">
        <v>16</v>
      </c>
      <c r="C8" t="s">
        <v>19</v>
      </c>
      <c r="D8" t="s">
        <v>15</v>
      </c>
      <c r="E8">
        <v>29660</v>
      </c>
      <c r="F8">
        <v>2245</v>
      </c>
      <c r="G8">
        <v>9</v>
      </c>
    </row>
    <row r="9" spans="1:7" x14ac:dyDescent="0.3">
      <c r="A9">
        <v>1008</v>
      </c>
      <c r="B9" t="s">
        <v>20</v>
      </c>
      <c r="C9" t="s">
        <v>14</v>
      </c>
      <c r="D9" t="s">
        <v>21</v>
      </c>
      <c r="E9">
        <v>44193</v>
      </c>
      <c r="F9">
        <v>3612</v>
      </c>
      <c r="G9">
        <v>8</v>
      </c>
    </row>
    <row r="10" spans="1:7" x14ac:dyDescent="0.3">
      <c r="A10">
        <v>1009</v>
      </c>
      <c r="B10" t="s">
        <v>7</v>
      </c>
      <c r="C10" t="s">
        <v>19</v>
      </c>
      <c r="D10" t="s">
        <v>15</v>
      </c>
      <c r="E10">
        <v>58552</v>
      </c>
      <c r="F10">
        <v>7262</v>
      </c>
      <c r="G10">
        <v>5</v>
      </c>
    </row>
    <row r="11" spans="1:7" x14ac:dyDescent="0.3">
      <c r="A11">
        <v>1010</v>
      </c>
      <c r="B11" t="s">
        <v>22</v>
      </c>
      <c r="C11" t="s">
        <v>19</v>
      </c>
      <c r="D11" t="s">
        <v>15</v>
      </c>
      <c r="E11">
        <v>67997</v>
      </c>
      <c r="F11">
        <v>1164</v>
      </c>
      <c r="G11">
        <v>4</v>
      </c>
    </row>
    <row r="12" spans="1:7" x14ac:dyDescent="0.3">
      <c r="A12">
        <v>1011</v>
      </c>
      <c r="B12" t="s">
        <v>22</v>
      </c>
      <c r="C12" t="s">
        <v>8</v>
      </c>
      <c r="D12" t="s">
        <v>21</v>
      </c>
      <c r="E12">
        <v>26573</v>
      </c>
      <c r="F12">
        <v>5768</v>
      </c>
      <c r="G12">
        <v>4</v>
      </c>
    </row>
    <row r="13" spans="1:7" x14ac:dyDescent="0.3">
      <c r="A13">
        <v>1012</v>
      </c>
      <c r="B13" t="s">
        <v>23</v>
      </c>
      <c r="C13" t="s">
        <v>8</v>
      </c>
      <c r="D13" t="s">
        <v>15</v>
      </c>
      <c r="E13">
        <v>70449</v>
      </c>
      <c r="F13">
        <v>8386</v>
      </c>
      <c r="G13">
        <v>8</v>
      </c>
    </row>
    <row r="14" spans="1:7" x14ac:dyDescent="0.3">
      <c r="A14">
        <v>1013</v>
      </c>
      <c r="B14" t="s">
        <v>24</v>
      </c>
      <c r="C14" t="s">
        <v>11</v>
      </c>
      <c r="D14" t="s">
        <v>15</v>
      </c>
      <c r="E14">
        <v>76305</v>
      </c>
      <c r="F14">
        <v>4910</v>
      </c>
      <c r="G14">
        <v>1</v>
      </c>
    </row>
    <row r="15" spans="1:7" x14ac:dyDescent="0.3">
      <c r="A15">
        <v>1014</v>
      </c>
      <c r="B15" t="s">
        <v>25</v>
      </c>
      <c r="C15" t="s">
        <v>8</v>
      </c>
      <c r="D15" t="s">
        <v>12</v>
      </c>
      <c r="E15">
        <v>75837</v>
      </c>
      <c r="F15">
        <v>3707</v>
      </c>
      <c r="G15">
        <v>4</v>
      </c>
    </row>
    <row r="16" spans="1:7" x14ac:dyDescent="0.3">
      <c r="A16">
        <v>1015</v>
      </c>
      <c r="B16" t="s">
        <v>26</v>
      </c>
      <c r="C16" t="s">
        <v>8</v>
      </c>
      <c r="D16" t="s">
        <v>15</v>
      </c>
      <c r="E16">
        <v>37399</v>
      </c>
      <c r="F16">
        <v>7673</v>
      </c>
      <c r="G16">
        <v>8</v>
      </c>
    </row>
    <row r="17" spans="1:7" x14ac:dyDescent="0.3">
      <c r="A17">
        <v>1016</v>
      </c>
      <c r="B17" t="s">
        <v>27</v>
      </c>
      <c r="C17" t="s">
        <v>19</v>
      </c>
      <c r="D17" t="s">
        <v>15</v>
      </c>
      <c r="E17">
        <v>36079</v>
      </c>
      <c r="F17">
        <v>1227</v>
      </c>
      <c r="G17">
        <v>9</v>
      </c>
    </row>
    <row r="18" spans="1:7" x14ac:dyDescent="0.3">
      <c r="A18">
        <v>1017</v>
      </c>
      <c r="B18" t="s">
        <v>22</v>
      </c>
      <c r="C18" t="s">
        <v>11</v>
      </c>
      <c r="D18" t="s">
        <v>21</v>
      </c>
      <c r="E18">
        <v>56682</v>
      </c>
      <c r="F18">
        <v>1665</v>
      </c>
      <c r="G18">
        <v>1</v>
      </c>
    </row>
    <row r="19" spans="1:7" x14ac:dyDescent="0.3">
      <c r="A19">
        <v>1018</v>
      </c>
      <c r="B19" t="s">
        <v>23</v>
      </c>
      <c r="C19" t="s">
        <v>11</v>
      </c>
      <c r="D19" t="s">
        <v>12</v>
      </c>
      <c r="E19">
        <v>74829</v>
      </c>
      <c r="F19">
        <v>9249</v>
      </c>
      <c r="G19">
        <v>9</v>
      </c>
    </row>
    <row r="20" spans="1:7" x14ac:dyDescent="0.3">
      <c r="A20">
        <v>1019</v>
      </c>
      <c r="B20" t="s">
        <v>10</v>
      </c>
      <c r="C20" t="s">
        <v>11</v>
      </c>
      <c r="D20" t="s">
        <v>9</v>
      </c>
      <c r="E20">
        <v>37095</v>
      </c>
      <c r="F20">
        <v>4694</v>
      </c>
      <c r="G20">
        <v>9</v>
      </c>
    </row>
    <row r="21" spans="1:7" x14ac:dyDescent="0.3">
      <c r="A21">
        <v>1020</v>
      </c>
      <c r="B21" t="s">
        <v>13</v>
      </c>
      <c r="C21" t="s">
        <v>14</v>
      </c>
      <c r="D21" t="s">
        <v>15</v>
      </c>
      <c r="E21">
        <v>57259</v>
      </c>
      <c r="F21">
        <v>4414</v>
      </c>
      <c r="G21">
        <v>1</v>
      </c>
    </row>
    <row r="22" spans="1:7" x14ac:dyDescent="0.3">
      <c r="A22">
        <v>1021</v>
      </c>
      <c r="B22" t="s">
        <v>23</v>
      </c>
      <c r="C22" t="s">
        <v>19</v>
      </c>
      <c r="D22" t="s">
        <v>15</v>
      </c>
      <c r="E22">
        <v>72209</v>
      </c>
      <c r="F22">
        <v>4448</v>
      </c>
      <c r="G22">
        <v>9</v>
      </c>
    </row>
    <row r="23" spans="1:7" x14ac:dyDescent="0.3">
      <c r="A23">
        <v>1022</v>
      </c>
      <c r="B23" t="s">
        <v>16</v>
      </c>
      <c r="C23" t="s">
        <v>19</v>
      </c>
      <c r="D23" t="s">
        <v>15</v>
      </c>
      <c r="E23">
        <v>38806</v>
      </c>
      <c r="F23">
        <v>9151</v>
      </c>
      <c r="G23">
        <v>9</v>
      </c>
    </row>
    <row r="24" spans="1:7" x14ac:dyDescent="0.3">
      <c r="A24">
        <v>1023</v>
      </c>
      <c r="B24" t="s">
        <v>20</v>
      </c>
      <c r="C24" t="s">
        <v>8</v>
      </c>
      <c r="D24" t="s">
        <v>15</v>
      </c>
      <c r="E24">
        <v>54451</v>
      </c>
      <c r="F24">
        <v>8106</v>
      </c>
      <c r="G24">
        <v>4</v>
      </c>
    </row>
    <row r="25" spans="1:7" x14ac:dyDescent="0.3">
      <c r="A25">
        <v>1024</v>
      </c>
      <c r="B25" t="s">
        <v>7</v>
      </c>
      <c r="C25" t="s">
        <v>8</v>
      </c>
      <c r="D25" t="s">
        <v>9</v>
      </c>
      <c r="E25">
        <v>20303</v>
      </c>
      <c r="F25">
        <v>6264</v>
      </c>
      <c r="G25">
        <v>4</v>
      </c>
    </row>
    <row r="26" spans="1:7" x14ac:dyDescent="0.3">
      <c r="A26">
        <v>1025</v>
      </c>
      <c r="B26" t="s">
        <v>27</v>
      </c>
      <c r="C26" t="s">
        <v>19</v>
      </c>
      <c r="D26" t="s">
        <v>9</v>
      </c>
      <c r="E26">
        <v>79600</v>
      </c>
      <c r="F26">
        <v>4813</v>
      </c>
      <c r="G26">
        <v>7</v>
      </c>
    </row>
    <row r="27" spans="1:7" x14ac:dyDescent="0.3">
      <c r="A27">
        <v>1026</v>
      </c>
      <c r="B27" t="s">
        <v>20</v>
      </c>
      <c r="C27" t="s">
        <v>19</v>
      </c>
      <c r="D27" t="s">
        <v>12</v>
      </c>
      <c r="E27">
        <v>75805</v>
      </c>
      <c r="F27">
        <v>6871</v>
      </c>
      <c r="G27">
        <v>8</v>
      </c>
    </row>
    <row r="28" spans="1:7" x14ac:dyDescent="0.3">
      <c r="A28">
        <v>1027</v>
      </c>
      <c r="B28" t="s">
        <v>18</v>
      </c>
      <c r="C28" t="s">
        <v>14</v>
      </c>
      <c r="D28" t="s">
        <v>9</v>
      </c>
      <c r="E28">
        <v>22801</v>
      </c>
      <c r="F28">
        <v>1462</v>
      </c>
      <c r="G28">
        <v>10</v>
      </c>
    </row>
    <row r="29" spans="1:7" x14ac:dyDescent="0.3">
      <c r="A29">
        <v>1028</v>
      </c>
      <c r="B29" t="s">
        <v>28</v>
      </c>
      <c r="C29" t="s">
        <v>19</v>
      </c>
      <c r="D29" t="s">
        <v>21</v>
      </c>
      <c r="E29">
        <v>54435</v>
      </c>
      <c r="F29">
        <v>5063</v>
      </c>
      <c r="G29">
        <v>6</v>
      </c>
    </row>
    <row r="30" spans="1:7" x14ac:dyDescent="0.3">
      <c r="A30">
        <v>1029</v>
      </c>
      <c r="B30" t="s">
        <v>29</v>
      </c>
      <c r="C30" t="s">
        <v>11</v>
      </c>
      <c r="D30" t="s">
        <v>21</v>
      </c>
      <c r="E30">
        <v>77655</v>
      </c>
      <c r="F30">
        <v>3552</v>
      </c>
      <c r="G30">
        <v>7</v>
      </c>
    </row>
    <row r="31" spans="1:7" x14ac:dyDescent="0.3">
      <c r="A31">
        <v>1030</v>
      </c>
      <c r="B31" t="s">
        <v>26</v>
      </c>
      <c r="C31" t="s">
        <v>19</v>
      </c>
      <c r="D31" t="s">
        <v>21</v>
      </c>
      <c r="E31">
        <v>61880</v>
      </c>
      <c r="F31">
        <v>1131</v>
      </c>
      <c r="G31">
        <v>8</v>
      </c>
    </row>
    <row r="32" spans="1:7" x14ac:dyDescent="0.3">
      <c r="A32">
        <v>1031</v>
      </c>
      <c r="B32" t="s">
        <v>28</v>
      </c>
      <c r="C32" t="s">
        <v>19</v>
      </c>
      <c r="D32" t="s">
        <v>21</v>
      </c>
      <c r="E32">
        <v>61681</v>
      </c>
      <c r="F32">
        <v>2759</v>
      </c>
      <c r="G32">
        <v>4</v>
      </c>
    </row>
    <row r="33" spans="1:7" x14ac:dyDescent="0.3">
      <c r="A33">
        <v>1032</v>
      </c>
      <c r="B33" t="s">
        <v>27</v>
      </c>
      <c r="C33" t="s">
        <v>19</v>
      </c>
      <c r="D33" t="s">
        <v>9</v>
      </c>
      <c r="E33">
        <v>65308</v>
      </c>
      <c r="F33">
        <v>4849</v>
      </c>
      <c r="G33">
        <v>10</v>
      </c>
    </row>
    <row r="34" spans="1:7" x14ac:dyDescent="0.3">
      <c r="A34">
        <v>1033</v>
      </c>
      <c r="B34" t="s">
        <v>23</v>
      </c>
      <c r="C34" t="s">
        <v>19</v>
      </c>
      <c r="D34" t="s">
        <v>21</v>
      </c>
      <c r="E34">
        <v>73630</v>
      </c>
      <c r="F34">
        <v>2677</v>
      </c>
      <c r="G34">
        <v>7</v>
      </c>
    </row>
    <row r="35" spans="1:7" x14ac:dyDescent="0.3">
      <c r="A35">
        <v>1034</v>
      </c>
      <c r="B35" t="s">
        <v>27</v>
      </c>
      <c r="C35" t="s">
        <v>14</v>
      </c>
      <c r="D35" t="s">
        <v>15</v>
      </c>
      <c r="E35">
        <v>72125</v>
      </c>
      <c r="F35">
        <v>5374</v>
      </c>
      <c r="G35">
        <v>10</v>
      </c>
    </row>
    <row r="36" spans="1:7" x14ac:dyDescent="0.3">
      <c r="A36">
        <v>1035</v>
      </c>
      <c r="B36" t="s">
        <v>16</v>
      </c>
      <c r="C36" t="s">
        <v>19</v>
      </c>
      <c r="D36" t="s">
        <v>9</v>
      </c>
      <c r="E36">
        <v>60544</v>
      </c>
      <c r="F36">
        <v>7787</v>
      </c>
      <c r="G36">
        <v>8</v>
      </c>
    </row>
    <row r="37" spans="1:7" x14ac:dyDescent="0.3">
      <c r="A37">
        <v>1036</v>
      </c>
      <c r="B37" t="s">
        <v>23</v>
      </c>
      <c r="C37" t="s">
        <v>19</v>
      </c>
      <c r="D37" t="s">
        <v>15</v>
      </c>
      <c r="E37">
        <v>59688</v>
      </c>
      <c r="F37">
        <v>3028</v>
      </c>
      <c r="G37">
        <v>10</v>
      </c>
    </row>
    <row r="38" spans="1:7" x14ac:dyDescent="0.3">
      <c r="A38">
        <v>1037</v>
      </c>
      <c r="B38" t="s">
        <v>20</v>
      </c>
      <c r="C38" t="s">
        <v>8</v>
      </c>
      <c r="D38" t="s">
        <v>9</v>
      </c>
      <c r="E38">
        <v>66548</v>
      </c>
      <c r="F38">
        <v>9254</v>
      </c>
      <c r="G38">
        <v>6</v>
      </c>
    </row>
    <row r="39" spans="1:7" x14ac:dyDescent="0.3">
      <c r="A39">
        <v>1038</v>
      </c>
      <c r="B39" t="s">
        <v>25</v>
      </c>
      <c r="C39" t="s">
        <v>11</v>
      </c>
      <c r="D39" t="s">
        <v>21</v>
      </c>
      <c r="E39">
        <v>63661</v>
      </c>
      <c r="F39">
        <v>4084</v>
      </c>
      <c r="G39">
        <v>7</v>
      </c>
    </row>
    <row r="40" spans="1:7" x14ac:dyDescent="0.3">
      <c r="A40">
        <v>1039</v>
      </c>
      <c r="B40" t="s">
        <v>10</v>
      </c>
      <c r="C40" t="s">
        <v>14</v>
      </c>
      <c r="D40" t="s">
        <v>12</v>
      </c>
      <c r="E40">
        <v>22824</v>
      </c>
      <c r="F40">
        <v>1476</v>
      </c>
      <c r="G40">
        <v>1</v>
      </c>
    </row>
    <row r="41" spans="1:7" x14ac:dyDescent="0.3">
      <c r="A41">
        <v>1040</v>
      </c>
      <c r="B41" t="s">
        <v>29</v>
      </c>
      <c r="C41" t="s">
        <v>14</v>
      </c>
      <c r="D41" t="s">
        <v>15</v>
      </c>
      <c r="E41">
        <v>33132</v>
      </c>
      <c r="F41">
        <v>8684</v>
      </c>
      <c r="G41">
        <v>9</v>
      </c>
    </row>
    <row r="42" spans="1:7" x14ac:dyDescent="0.3">
      <c r="A42">
        <v>1041</v>
      </c>
      <c r="B42" t="s">
        <v>10</v>
      </c>
      <c r="C42" t="s">
        <v>8</v>
      </c>
      <c r="D42" t="s">
        <v>15</v>
      </c>
      <c r="E42">
        <v>26847</v>
      </c>
      <c r="F42">
        <v>8491</v>
      </c>
      <c r="G42">
        <v>2</v>
      </c>
    </row>
    <row r="43" spans="1:7" x14ac:dyDescent="0.3">
      <c r="A43">
        <v>1042</v>
      </c>
      <c r="B43" t="s">
        <v>24</v>
      </c>
      <c r="C43" t="s">
        <v>8</v>
      </c>
      <c r="D43" t="s">
        <v>9</v>
      </c>
      <c r="E43">
        <v>28228</v>
      </c>
      <c r="F43">
        <v>2823</v>
      </c>
      <c r="G43">
        <v>2</v>
      </c>
    </row>
    <row r="44" spans="1:7" x14ac:dyDescent="0.3">
      <c r="A44">
        <v>1043</v>
      </c>
      <c r="B44" t="s">
        <v>22</v>
      </c>
      <c r="C44" t="s">
        <v>8</v>
      </c>
      <c r="D44" t="s">
        <v>21</v>
      </c>
      <c r="E44">
        <v>58429</v>
      </c>
      <c r="F44">
        <v>5256</v>
      </c>
      <c r="G44">
        <v>5</v>
      </c>
    </row>
    <row r="45" spans="1:7" x14ac:dyDescent="0.3">
      <c r="A45">
        <v>1044</v>
      </c>
      <c r="B45" t="s">
        <v>13</v>
      </c>
      <c r="C45" t="s">
        <v>19</v>
      </c>
      <c r="D45" t="s">
        <v>12</v>
      </c>
      <c r="E45">
        <v>51774</v>
      </c>
      <c r="F45">
        <v>2774</v>
      </c>
      <c r="G45">
        <v>8</v>
      </c>
    </row>
    <row r="46" spans="1:7" x14ac:dyDescent="0.3">
      <c r="A46">
        <v>1045</v>
      </c>
      <c r="B46" t="s">
        <v>27</v>
      </c>
      <c r="C46" t="s">
        <v>19</v>
      </c>
      <c r="D46" t="s">
        <v>15</v>
      </c>
      <c r="E46">
        <v>52101</v>
      </c>
      <c r="F46">
        <v>4256</v>
      </c>
      <c r="G46">
        <v>9</v>
      </c>
    </row>
    <row r="47" spans="1:7" x14ac:dyDescent="0.3">
      <c r="A47">
        <v>1046</v>
      </c>
      <c r="B47" t="s">
        <v>18</v>
      </c>
      <c r="C47" t="s">
        <v>8</v>
      </c>
      <c r="D47" t="s">
        <v>12</v>
      </c>
      <c r="E47">
        <v>51907</v>
      </c>
      <c r="F47">
        <v>9757</v>
      </c>
      <c r="G47">
        <v>8</v>
      </c>
    </row>
    <row r="48" spans="1:7" x14ac:dyDescent="0.3">
      <c r="A48">
        <v>1047</v>
      </c>
      <c r="B48" t="s">
        <v>30</v>
      </c>
      <c r="C48" t="s">
        <v>8</v>
      </c>
      <c r="D48" t="s">
        <v>15</v>
      </c>
      <c r="E48">
        <v>71323</v>
      </c>
      <c r="F48">
        <v>3679</v>
      </c>
      <c r="G48">
        <v>5</v>
      </c>
    </row>
    <row r="49" spans="1:7" x14ac:dyDescent="0.3">
      <c r="A49">
        <v>1048</v>
      </c>
      <c r="B49" t="s">
        <v>26</v>
      </c>
      <c r="C49" t="s">
        <v>19</v>
      </c>
      <c r="D49" t="s">
        <v>21</v>
      </c>
      <c r="E49">
        <v>27400</v>
      </c>
      <c r="F49">
        <v>8374</v>
      </c>
      <c r="G49">
        <v>1</v>
      </c>
    </row>
    <row r="50" spans="1:7" x14ac:dyDescent="0.3">
      <c r="A50">
        <v>1049</v>
      </c>
      <c r="B50" t="s">
        <v>22</v>
      </c>
      <c r="C50" t="s">
        <v>14</v>
      </c>
      <c r="D50" t="s">
        <v>15</v>
      </c>
      <c r="E50">
        <v>58265</v>
      </c>
      <c r="F50">
        <v>7588</v>
      </c>
      <c r="G50">
        <v>9</v>
      </c>
    </row>
    <row r="51" spans="1:7" x14ac:dyDescent="0.3">
      <c r="A51">
        <v>1050</v>
      </c>
      <c r="B51" t="s">
        <v>31</v>
      </c>
      <c r="C51" t="s">
        <v>8</v>
      </c>
      <c r="D51" t="s">
        <v>15</v>
      </c>
      <c r="E51">
        <v>33269</v>
      </c>
      <c r="F51">
        <v>5636</v>
      </c>
      <c r="G51">
        <v>3</v>
      </c>
    </row>
    <row r="52" spans="1:7" x14ac:dyDescent="0.3">
      <c r="A52">
        <v>1051</v>
      </c>
      <c r="B52" t="s">
        <v>22</v>
      </c>
      <c r="C52" t="s">
        <v>11</v>
      </c>
      <c r="D52" t="s">
        <v>21</v>
      </c>
      <c r="E52">
        <v>21766</v>
      </c>
      <c r="F52">
        <v>3144</v>
      </c>
      <c r="G52">
        <v>4</v>
      </c>
    </row>
    <row r="53" spans="1:7" x14ac:dyDescent="0.3">
      <c r="A53">
        <v>1052</v>
      </c>
      <c r="B53" t="s">
        <v>13</v>
      </c>
      <c r="C53" t="s">
        <v>14</v>
      </c>
      <c r="D53" t="s">
        <v>12</v>
      </c>
      <c r="E53">
        <v>74489</v>
      </c>
      <c r="F53">
        <v>4055</v>
      </c>
      <c r="G53">
        <v>1</v>
      </c>
    </row>
    <row r="54" spans="1:7" x14ac:dyDescent="0.3">
      <c r="A54">
        <v>1053</v>
      </c>
      <c r="B54" t="s">
        <v>30</v>
      </c>
      <c r="C54" t="s">
        <v>19</v>
      </c>
      <c r="D54" t="s">
        <v>21</v>
      </c>
      <c r="E54">
        <v>27248</v>
      </c>
      <c r="F54">
        <v>7369</v>
      </c>
      <c r="G54">
        <v>5</v>
      </c>
    </row>
    <row r="55" spans="1:7" x14ac:dyDescent="0.3">
      <c r="A55">
        <v>1054</v>
      </c>
      <c r="B55" t="s">
        <v>32</v>
      </c>
      <c r="C55" t="s">
        <v>8</v>
      </c>
      <c r="D55" t="s">
        <v>15</v>
      </c>
      <c r="E55">
        <v>70703</v>
      </c>
      <c r="F55">
        <v>5796</v>
      </c>
      <c r="G55">
        <v>8</v>
      </c>
    </row>
    <row r="56" spans="1:7" x14ac:dyDescent="0.3">
      <c r="A56">
        <v>1055</v>
      </c>
      <c r="B56" t="s">
        <v>28</v>
      </c>
      <c r="C56" t="s">
        <v>11</v>
      </c>
      <c r="D56" t="s">
        <v>9</v>
      </c>
      <c r="E56">
        <v>53725</v>
      </c>
      <c r="F56">
        <v>3478</v>
      </c>
      <c r="G56">
        <v>1</v>
      </c>
    </row>
    <row r="57" spans="1:7" x14ac:dyDescent="0.3">
      <c r="A57">
        <v>1056</v>
      </c>
      <c r="B57" t="s">
        <v>18</v>
      </c>
      <c r="C57" t="s">
        <v>19</v>
      </c>
      <c r="D57" t="s">
        <v>15</v>
      </c>
      <c r="E57">
        <v>31273</v>
      </c>
      <c r="F57">
        <v>7614</v>
      </c>
      <c r="G57">
        <v>5</v>
      </c>
    </row>
    <row r="58" spans="1:7" x14ac:dyDescent="0.3">
      <c r="A58">
        <v>1057</v>
      </c>
      <c r="B58" t="s">
        <v>7</v>
      </c>
      <c r="C58" t="s">
        <v>19</v>
      </c>
      <c r="D58" t="s">
        <v>9</v>
      </c>
      <c r="E58">
        <v>38884</v>
      </c>
      <c r="F58">
        <v>8365</v>
      </c>
      <c r="G58">
        <v>6</v>
      </c>
    </row>
    <row r="59" spans="1:7" x14ac:dyDescent="0.3">
      <c r="A59">
        <v>1058</v>
      </c>
      <c r="B59" t="s">
        <v>26</v>
      </c>
      <c r="C59" t="s">
        <v>8</v>
      </c>
      <c r="D59" t="s">
        <v>21</v>
      </c>
      <c r="E59">
        <v>39456</v>
      </c>
      <c r="F59">
        <v>2415</v>
      </c>
      <c r="G59">
        <v>7</v>
      </c>
    </row>
    <row r="60" spans="1:7" x14ac:dyDescent="0.3">
      <c r="A60">
        <v>1059</v>
      </c>
      <c r="B60" t="s">
        <v>20</v>
      </c>
      <c r="C60" t="s">
        <v>19</v>
      </c>
      <c r="D60" t="s">
        <v>21</v>
      </c>
      <c r="E60">
        <v>75599</v>
      </c>
      <c r="F60">
        <v>3080</v>
      </c>
      <c r="G60">
        <v>6</v>
      </c>
    </row>
    <row r="61" spans="1:7" x14ac:dyDescent="0.3">
      <c r="A61">
        <v>1060</v>
      </c>
      <c r="B61" t="s">
        <v>27</v>
      </c>
      <c r="C61" t="s">
        <v>19</v>
      </c>
      <c r="D61" t="s">
        <v>21</v>
      </c>
      <c r="E61">
        <v>21371</v>
      </c>
      <c r="F61">
        <v>7106</v>
      </c>
      <c r="G61">
        <v>2</v>
      </c>
    </row>
    <row r="62" spans="1:7" x14ac:dyDescent="0.3">
      <c r="A62">
        <v>1061</v>
      </c>
      <c r="B62" t="s">
        <v>26</v>
      </c>
      <c r="C62" t="s">
        <v>8</v>
      </c>
      <c r="D62" t="s">
        <v>9</v>
      </c>
      <c r="E62">
        <v>30824</v>
      </c>
      <c r="F62">
        <v>2205</v>
      </c>
      <c r="G62">
        <v>10</v>
      </c>
    </row>
    <row r="63" spans="1:7" x14ac:dyDescent="0.3">
      <c r="A63">
        <v>1062</v>
      </c>
      <c r="B63" t="s">
        <v>7</v>
      </c>
      <c r="C63" t="s">
        <v>11</v>
      </c>
      <c r="D63" t="s">
        <v>9</v>
      </c>
      <c r="E63">
        <v>75049</v>
      </c>
      <c r="F63">
        <v>3176</v>
      </c>
      <c r="G63">
        <v>5</v>
      </c>
    </row>
    <row r="64" spans="1:7" x14ac:dyDescent="0.3">
      <c r="A64">
        <v>1063</v>
      </c>
      <c r="B64" t="s">
        <v>22</v>
      </c>
      <c r="C64" t="s">
        <v>14</v>
      </c>
      <c r="D64" t="s">
        <v>12</v>
      </c>
      <c r="E64">
        <v>72895</v>
      </c>
      <c r="F64">
        <v>1576</v>
      </c>
      <c r="G64">
        <v>7</v>
      </c>
    </row>
    <row r="65" spans="1:7" x14ac:dyDescent="0.3">
      <c r="A65">
        <v>1064</v>
      </c>
      <c r="B65" t="s">
        <v>20</v>
      </c>
      <c r="C65" t="s">
        <v>19</v>
      </c>
      <c r="D65" t="s">
        <v>21</v>
      </c>
      <c r="E65">
        <v>47550</v>
      </c>
      <c r="F65">
        <v>8666</v>
      </c>
      <c r="G65">
        <v>7</v>
      </c>
    </row>
    <row r="66" spans="1:7" x14ac:dyDescent="0.3">
      <c r="A66">
        <v>1065</v>
      </c>
      <c r="B66" t="s">
        <v>22</v>
      </c>
      <c r="C66" t="s">
        <v>11</v>
      </c>
      <c r="D66" t="s">
        <v>15</v>
      </c>
      <c r="E66">
        <v>55068</v>
      </c>
      <c r="F66">
        <v>3185</v>
      </c>
      <c r="G66">
        <v>7</v>
      </c>
    </row>
    <row r="67" spans="1:7" x14ac:dyDescent="0.3">
      <c r="A67">
        <v>1066</v>
      </c>
      <c r="B67" t="s">
        <v>33</v>
      </c>
      <c r="C67" t="s">
        <v>8</v>
      </c>
      <c r="D67" t="s">
        <v>15</v>
      </c>
      <c r="E67">
        <v>40936</v>
      </c>
      <c r="F67">
        <v>4211</v>
      </c>
      <c r="G67">
        <v>3</v>
      </c>
    </row>
    <row r="68" spans="1:7" x14ac:dyDescent="0.3">
      <c r="A68">
        <v>1067</v>
      </c>
      <c r="B68" t="s">
        <v>24</v>
      </c>
      <c r="C68" t="s">
        <v>19</v>
      </c>
      <c r="D68" t="s">
        <v>15</v>
      </c>
      <c r="E68">
        <v>61479</v>
      </c>
      <c r="F68">
        <v>5657</v>
      </c>
      <c r="G68">
        <v>10</v>
      </c>
    </row>
    <row r="69" spans="1:7" x14ac:dyDescent="0.3">
      <c r="A69">
        <v>1068</v>
      </c>
      <c r="B69" t="s">
        <v>22</v>
      </c>
      <c r="C69" t="s">
        <v>11</v>
      </c>
      <c r="D69" t="s">
        <v>12</v>
      </c>
      <c r="E69">
        <v>37975</v>
      </c>
      <c r="F69">
        <v>9510</v>
      </c>
      <c r="G69">
        <v>6</v>
      </c>
    </row>
    <row r="70" spans="1:7" x14ac:dyDescent="0.3">
      <c r="A70">
        <v>1069</v>
      </c>
      <c r="B70" t="s">
        <v>34</v>
      </c>
      <c r="C70" t="s">
        <v>8</v>
      </c>
      <c r="D70" t="s">
        <v>12</v>
      </c>
      <c r="E70">
        <v>25240</v>
      </c>
      <c r="F70">
        <v>4594</v>
      </c>
      <c r="G70">
        <v>8</v>
      </c>
    </row>
    <row r="71" spans="1:7" x14ac:dyDescent="0.3">
      <c r="A71">
        <v>1070</v>
      </c>
      <c r="B71" t="s">
        <v>27</v>
      </c>
      <c r="C71" t="s">
        <v>14</v>
      </c>
      <c r="D71" t="s">
        <v>21</v>
      </c>
      <c r="E71">
        <v>23101</v>
      </c>
      <c r="F71">
        <v>1108</v>
      </c>
      <c r="G71">
        <v>1</v>
      </c>
    </row>
    <row r="72" spans="1:7" x14ac:dyDescent="0.3">
      <c r="A72">
        <v>1071</v>
      </c>
      <c r="B72" t="s">
        <v>33</v>
      </c>
      <c r="C72" t="s">
        <v>11</v>
      </c>
      <c r="D72" t="s">
        <v>15</v>
      </c>
      <c r="E72">
        <v>28670</v>
      </c>
      <c r="F72">
        <v>5096</v>
      </c>
      <c r="G72">
        <v>6</v>
      </c>
    </row>
    <row r="73" spans="1:7" x14ac:dyDescent="0.3">
      <c r="A73">
        <v>1072</v>
      </c>
      <c r="B73" t="s">
        <v>7</v>
      </c>
      <c r="C73" t="s">
        <v>8</v>
      </c>
      <c r="D73" t="s">
        <v>12</v>
      </c>
      <c r="E73">
        <v>68210</v>
      </c>
      <c r="F73">
        <v>7404</v>
      </c>
      <c r="G73">
        <v>7</v>
      </c>
    </row>
    <row r="74" spans="1:7" x14ac:dyDescent="0.3">
      <c r="A74">
        <v>1073</v>
      </c>
      <c r="B74" t="s">
        <v>32</v>
      </c>
      <c r="C74" t="s">
        <v>14</v>
      </c>
      <c r="D74" t="s">
        <v>15</v>
      </c>
      <c r="E74">
        <v>41885</v>
      </c>
      <c r="F74">
        <v>5581</v>
      </c>
      <c r="G74">
        <v>9</v>
      </c>
    </row>
    <row r="75" spans="1:7" x14ac:dyDescent="0.3">
      <c r="A75">
        <v>1074</v>
      </c>
      <c r="B75" t="s">
        <v>33</v>
      </c>
      <c r="C75" t="s">
        <v>14</v>
      </c>
      <c r="D75" t="s">
        <v>15</v>
      </c>
      <c r="E75">
        <v>46855</v>
      </c>
      <c r="F75">
        <v>9162</v>
      </c>
      <c r="G75">
        <v>5</v>
      </c>
    </row>
    <row r="76" spans="1:7" x14ac:dyDescent="0.3">
      <c r="A76">
        <v>1075</v>
      </c>
      <c r="B76" t="s">
        <v>23</v>
      </c>
      <c r="C76" t="s">
        <v>14</v>
      </c>
      <c r="D76" t="s">
        <v>12</v>
      </c>
      <c r="E76">
        <v>67656</v>
      </c>
      <c r="F76">
        <v>1218</v>
      </c>
      <c r="G76">
        <v>10</v>
      </c>
    </row>
    <row r="77" spans="1:7" x14ac:dyDescent="0.3">
      <c r="A77">
        <v>1076</v>
      </c>
      <c r="B77" t="s">
        <v>13</v>
      </c>
      <c r="C77" t="s">
        <v>11</v>
      </c>
      <c r="D77" t="s">
        <v>12</v>
      </c>
      <c r="E77">
        <v>69576</v>
      </c>
      <c r="F77">
        <v>7262</v>
      </c>
      <c r="G77">
        <v>5</v>
      </c>
    </row>
    <row r="78" spans="1:7" x14ac:dyDescent="0.3">
      <c r="A78">
        <v>1077</v>
      </c>
      <c r="B78" t="s">
        <v>18</v>
      </c>
      <c r="C78" t="s">
        <v>8</v>
      </c>
      <c r="D78" t="s">
        <v>12</v>
      </c>
      <c r="E78">
        <v>71754</v>
      </c>
      <c r="F78">
        <v>2979</v>
      </c>
      <c r="G78">
        <v>1</v>
      </c>
    </row>
    <row r="79" spans="1:7" x14ac:dyDescent="0.3">
      <c r="A79">
        <v>1078</v>
      </c>
      <c r="B79" t="s">
        <v>31</v>
      </c>
      <c r="C79" t="s">
        <v>11</v>
      </c>
      <c r="D79" t="s">
        <v>15</v>
      </c>
      <c r="E79">
        <v>73784</v>
      </c>
      <c r="F79">
        <v>7859</v>
      </c>
      <c r="G79">
        <v>10</v>
      </c>
    </row>
    <row r="80" spans="1:7" x14ac:dyDescent="0.3">
      <c r="A80">
        <v>1079</v>
      </c>
      <c r="B80" t="s">
        <v>34</v>
      </c>
      <c r="C80" t="s">
        <v>19</v>
      </c>
      <c r="D80" t="s">
        <v>21</v>
      </c>
      <c r="E80">
        <v>26703</v>
      </c>
      <c r="F80">
        <v>7424</v>
      </c>
      <c r="G80">
        <v>7</v>
      </c>
    </row>
    <row r="81" spans="1:7" x14ac:dyDescent="0.3">
      <c r="A81">
        <v>1080</v>
      </c>
      <c r="B81" t="s">
        <v>25</v>
      </c>
      <c r="C81" t="s">
        <v>11</v>
      </c>
      <c r="D81" t="s">
        <v>15</v>
      </c>
      <c r="E81">
        <v>29509</v>
      </c>
      <c r="F81">
        <v>7481</v>
      </c>
      <c r="G81">
        <v>5</v>
      </c>
    </row>
    <row r="82" spans="1:7" x14ac:dyDescent="0.3">
      <c r="A82">
        <v>1081</v>
      </c>
      <c r="B82" t="s">
        <v>31</v>
      </c>
      <c r="C82" t="s">
        <v>19</v>
      </c>
      <c r="D82" t="s">
        <v>15</v>
      </c>
      <c r="E82">
        <v>73007</v>
      </c>
      <c r="F82">
        <v>6784</v>
      </c>
      <c r="G82">
        <v>3</v>
      </c>
    </row>
    <row r="83" spans="1:7" x14ac:dyDescent="0.3">
      <c r="A83">
        <v>1082</v>
      </c>
      <c r="B83" t="s">
        <v>18</v>
      </c>
      <c r="C83" t="s">
        <v>14</v>
      </c>
      <c r="D83" t="s">
        <v>12</v>
      </c>
      <c r="E83">
        <v>57292</v>
      </c>
      <c r="F83">
        <v>3999</v>
      </c>
      <c r="G83">
        <v>2</v>
      </c>
    </row>
    <row r="84" spans="1:7" x14ac:dyDescent="0.3">
      <c r="A84">
        <v>1083</v>
      </c>
      <c r="B84" t="s">
        <v>30</v>
      </c>
      <c r="C84" t="s">
        <v>19</v>
      </c>
      <c r="D84" t="s">
        <v>21</v>
      </c>
      <c r="E84">
        <v>41275</v>
      </c>
      <c r="F84">
        <v>9081</v>
      </c>
      <c r="G84">
        <v>9</v>
      </c>
    </row>
    <row r="85" spans="1:7" x14ac:dyDescent="0.3">
      <c r="A85">
        <v>1084</v>
      </c>
      <c r="B85" t="s">
        <v>22</v>
      </c>
      <c r="C85" t="s">
        <v>19</v>
      </c>
      <c r="D85" t="s">
        <v>9</v>
      </c>
      <c r="E85">
        <v>74986</v>
      </c>
      <c r="F85">
        <v>3129</v>
      </c>
      <c r="G85">
        <v>1</v>
      </c>
    </row>
    <row r="86" spans="1:7" x14ac:dyDescent="0.3">
      <c r="A86">
        <v>1085</v>
      </c>
      <c r="B86" t="s">
        <v>18</v>
      </c>
      <c r="C86" t="s">
        <v>14</v>
      </c>
      <c r="D86" t="s">
        <v>15</v>
      </c>
      <c r="E86">
        <v>26328</v>
      </c>
      <c r="F86">
        <v>2713</v>
      </c>
      <c r="G86">
        <v>8</v>
      </c>
    </row>
    <row r="87" spans="1:7" x14ac:dyDescent="0.3">
      <c r="A87">
        <v>1086</v>
      </c>
      <c r="B87" t="s">
        <v>30</v>
      </c>
      <c r="C87" t="s">
        <v>19</v>
      </c>
      <c r="D87" t="s">
        <v>12</v>
      </c>
      <c r="E87">
        <v>64262</v>
      </c>
      <c r="F87">
        <v>5101</v>
      </c>
      <c r="G87">
        <v>8</v>
      </c>
    </row>
    <row r="88" spans="1:7" x14ac:dyDescent="0.3">
      <c r="A88">
        <v>1087</v>
      </c>
      <c r="B88" t="s">
        <v>30</v>
      </c>
      <c r="C88" t="s">
        <v>14</v>
      </c>
      <c r="D88" t="s">
        <v>9</v>
      </c>
      <c r="E88">
        <v>35514</v>
      </c>
      <c r="F88">
        <v>7798</v>
      </c>
      <c r="G88">
        <v>8</v>
      </c>
    </row>
    <row r="89" spans="1:7" x14ac:dyDescent="0.3">
      <c r="A89">
        <v>1088</v>
      </c>
      <c r="B89" t="s">
        <v>33</v>
      </c>
      <c r="C89" t="s">
        <v>11</v>
      </c>
      <c r="D89" t="s">
        <v>12</v>
      </c>
      <c r="E89">
        <v>33097</v>
      </c>
      <c r="F89">
        <v>3123</v>
      </c>
      <c r="G89">
        <v>7</v>
      </c>
    </row>
    <row r="90" spans="1:7" x14ac:dyDescent="0.3">
      <c r="A90">
        <v>1089</v>
      </c>
      <c r="B90" t="s">
        <v>27</v>
      </c>
      <c r="C90" t="s">
        <v>19</v>
      </c>
      <c r="D90" t="s">
        <v>15</v>
      </c>
      <c r="E90">
        <v>71262</v>
      </c>
      <c r="F90">
        <v>7439</v>
      </c>
      <c r="G90">
        <v>4</v>
      </c>
    </row>
    <row r="91" spans="1:7" x14ac:dyDescent="0.3">
      <c r="A91">
        <v>1090</v>
      </c>
      <c r="B91" t="s">
        <v>25</v>
      </c>
      <c r="C91" t="s">
        <v>14</v>
      </c>
      <c r="D91" t="s">
        <v>15</v>
      </c>
      <c r="E91">
        <v>40271</v>
      </c>
      <c r="F91">
        <v>1664</v>
      </c>
      <c r="G91">
        <v>7</v>
      </c>
    </row>
    <row r="92" spans="1:7" x14ac:dyDescent="0.3">
      <c r="A92">
        <v>1091</v>
      </c>
      <c r="B92" t="s">
        <v>31</v>
      </c>
      <c r="C92" t="s">
        <v>14</v>
      </c>
      <c r="D92" t="s">
        <v>12</v>
      </c>
      <c r="E92">
        <v>79161</v>
      </c>
      <c r="F92">
        <v>5186</v>
      </c>
      <c r="G92">
        <v>9</v>
      </c>
    </row>
    <row r="93" spans="1:7" x14ac:dyDescent="0.3">
      <c r="A93">
        <v>1092</v>
      </c>
      <c r="B93" t="s">
        <v>24</v>
      </c>
      <c r="C93" t="s">
        <v>11</v>
      </c>
      <c r="D93" t="s">
        <v>9</v>
      </c>
      <c r="E93">
        <v>29387</v>
      </c>
      <c r="F93">
        <v>7882</v>
      </c>
      <c r="G93">
        <v>1</v>
      </c>
    </row>
    <row r="94" spans="1:7" x14ac:dyDescent="0.3">
      <c r="A94">
        <v>1093</v>
      </c>
      <c r="B94" t="s">
        <v>29</v>
      </c>
      <c r="C94" t="s">
        <v>8</v>
      </c>
      <c r="D94" t="s">
        <v>9</v>
      </c>
      <c r="E94">
        <v>26353</v>
      </c>
      <c r="F94">
        <v>6268</v>
      </c>
      <c r="G94">
        <v>8</v>
      </c>
    </row>
    <row r="95" spans="1:7" x14ac:dyDescent="0.3">
      <c r="A95">
        <v>1094</v>
      </c>
      <c r="B95" t="s">
        <v>23</v>
      </c>
      <c r="C95" t="s">
        <v>14</v>
      </c>
      <c r="D95" t="s">
        <v>21</v>
      </c>
      <c r="E95">
        <v>25298</v>
      </c>
      <c r="F95">
        <v>5540</v>
      </c>
      <c r="G95">
        <v>7</v>
      </c>
    </row>
    <row r="96" spans="1:7" x14ac:dyDescent="0.3">
      <c r="A96">
        <v>1095</v>
      </c>
      <c r="B96" t="s">
        <v>32</v>
      </c>
      <c r="C96" t="s">
        <v>19</v>
      </c>
      <c r="D96" t="s">
        <v>21</v>
      </c>
      <c r="E96">
        <v>23230</v>
      </c>
      <c r="F96">
        <v>5570</v>
      </c>
      <c r="G96">
        <v>3</v>
      </c>
    </row>
    <row r="97" spans="1:7" x14ac:dyDescent="0.3">
      <c r="A97">
        <v>1096</v>
      </c>
      <c r="B97" t="s">
        <v>31</v>
      </c>
      <c r="C97" t="s">
        <v>14</v>
      </c>
      <c r="D97" t="s">
        <v>9</v>
      </c>
      <c r="E97">
        <v>29456</v>
      </c>
      <c r="F97">
        <v>4321</v>
      </c>
      <c r="G97">
        <v>9</v>
      </c>
    </row>
    <row r="98" spans="1:7" x14ac:dyDescent="0.3">
      <c r="A98">
        <v>1097</v>
      </c>
      <c r="B98" t="s">
        <v>22</v>
      </c>
      <c r="C98" t="s">
        <v>11</v>
      </c>
      <c r="D98" t="s">
        <v>9</v>
      </c>
      <c r="E98">
        <v>44707</v>
      </c>
      <c r="F98">
        <v>6435</v>
      </c>
      <c r="G98">
        <v>7</v>
      </c>
    </row>
    <row r="99" spans="1:7" x14ac:dyDescent="0.3">
      <c r="A99">
        <v>1098</v>
      </c>
      <c r="B99" t="s">
        <v>16</v>
      </c>
      <c r="C99" t="s">
        <v>11</v>
      </c>
      <c r="D99" t="s">
        <v>12</v>
      </c>
      <c r="E99">
        <v>70947</v>
      </c>
      <c r="F99">
        <v>9984</v>
      </c>
      <c r="G99">
        <v>4</v>
      </c>
    </row>
    <row r="100" spans="1:7" x14ac:dyDescent="0.3">
      <c r="A100">
        <v>1099</v>
      </c>
      <c r="B100" t="s">
        <v>18</v>
      </c>
      <c r="C100" t="s">
        <v>14</v>
      </c>
      <c r="D100" t="s">
        <v>21</v>
      </c>
      <c r="E100">
        <v>36465</v>
      </c>
      <c r="F100">
        <v>4576</v>
      </c>
      <c r="G100">
        <v>10</v>
      </c>
    </row>
    <row r="101" spans="1:7" x14ac:dyDescent="0.3">
      <c r="A101">
        <v>1100</v>
      </c>
      <c r="B101" t="s">
        <v>25</v>
      </c>
      <c r="C101" t="s">
        <v>14</v>
      </c>
      <c r="D101" t="s">
        <v>21</v>
      </c>
      <c r="E101">
        <v>60782</v>
      </c>
      <c r="F101">
        <v>5399</v>
      </c>
      <c r="G101">
        <v>1</v>
      </c>
    </row>
    <row r="102" spans="1:7" x14ac:dyDescent="0.3">
      <c r="A102">
        <v>1101</v>
      </c>
      <c r="B102" t="s">
        <v>18</v>
      </c>
      <c r="C102" t="s">
        <v>8</v>
      </c>
      <c r="D102" t="s">
        <v>9</v>
      </c>
      <c r="E102">
        <v>69179</v>
      </c>
      <c r="F102">
        <v>8309</v>
      </c>
      <c r="G102">
        <v>9</v>
      </c>
    </row>
    <row r="103" spans="1:7" x14ac:dyDescent="0.3">
      <c r="A103">
        <v>1102</v>
      </c>
      <c r="B103" t="s">
        <v>24</v>
      </c>
      <c r="C103" t="s">
        <v>11</v>
      </c>
      <c r="D103" t="s">
        <v>21</v>
      </c>
      <c r="E103">
        <v>28278</v>
      </c>
      <c r="F103">
        <v>7093</v>
      </c>
      <c r="G103">
        <v>3</v>
      </c>
    </row>
    <row r="104" spans="1:7" x14ac:dyDescent="0.3">
      <c r="A104">
        <v>1103</v>
      </c>
      <c r="B104" t="s">
        <v>17</v>
      </c>
      <c r="C104" t="s">
        <v>14</v>
      </c>
      <c r="D104" t="s">
        <v>15</v>
      </c>
      <c r="E104">
        <v>21588</v>
      </c>
      <c r="F104">
        <v>8420</v>
      </c>
      <c r="G104">
        <v>10</v>
      </c>
    </row>
    <row r="105" spans="1:7" x14ac:dyDescent="0.3">
      <c r="A105">
        <v>1104</v>
      </c>
      <c r="B105" t="s">
        <v>7</v>
      </c>
      <c r="C105" t="s">
        <v>14</v>
      </c>
      <c r="D105" t="s">
        <v>15</v>
      </c>
      <c r="E105">
        <v>58257</v>
      </c>
      <c r="F105">
        <v>2551</v>
      </c>
      <c r="G105">
        <v>7</v>
      </c>
    </row>
    <row r="106" spans="1:7" x14ac:dyDescent="0.3">
      <c r="A106">
        <v>1105</v>
      </c>
      <c r="B106" t="s">
        <v>20</v>
      </c>
      <c r="C106" t="s">
        <v>14</v>
      </c>
      <c r="D106" t="s">
        <v>12</v>
      </c>
      <c r="E106">
        <v>35113</v>
      </c>
      <c r="F106">
        <v>6766</v>
      </c>
      <c r="G106">
        <v>6</v>
      </c>
    </row>
    <row r="107" spans="1:7" x14ac:dyDescent="0.3">
      <c r="A107">
        <v>1106</v>
      </c>
      <c r="B107" t="s">
        <v>28</v>
      </c>
      <c r="C107" t="s">
        <v>11</v>
      </c>
      <c r="D107" t="s">
        <v>21</v>
      </c>
      <c r="E107">
        <v>39364</v>
      </c>
      <c r="F107">
        <v>5237</v>
      </c>
      <c r="G107">
        <v>7</v>
      </c>
    </row>
    <row r="108" spans="1:7" x14ac:dyDescent="0.3">
      <c r="A108">
        <v>1107</v>
      </c>
      <c r="B108" t="s">
        <v>24</v>
      </c>
      <c r="C108" t="s">
        <v>19</v>
      </c>
      <c r="D108" t="s">
        <v>21</v>
      </c>
      <c r="E108">
        <v>20025</v>
      </c>
      <c r="F108">
        <v>9889</v>
      </c>
      <c r="G108">
        <v>6</v>
      </c>
    </row>
    <row r="109" spans="1:7" x14ac:dyDescent="0.3">
      <c r="A109">
        <v>1108</v>
      </c>
      <c r="B109" t="s">
        <v>27</v>
      </c>
      <c r="C109" t="s">
        <v>19</v>
      </c>
      <c r="D109" t="s">
        <v>12</v>
      </c>
      <c r="E109">
        <v>32604</v>
      </c>
      <c r="F109">
        <v>9062</v>
      </c>
      <c r="G109">
        <v>1</v>
      </c>
    </row>
    <row r="110" spans="1:7" x14ac:dyDescent="0.3">
      <c r="A110">
        <v>1109</v>
      </c>
      <c r="B110" t="s">
        <v>31</v>
      </c>
      <c r="C110" t="s">
        <v>19</v>
      </c>
      <c r="D110" t="s">
        <v>21</v>
      </c>
      <c r="E110">
        <v>20876</v>
      </c>
      <c r="F110">
        <v>4076</v>
      </c>
      <c r="G110">
        <v>8</v>
      </c>
    </row>
    <row r="111" spans="1:7" x14ac:dyDescent="0.3">
      <c r="A111">
        <v>1110</v>
      </c>
      <c r="B111" t="s">
        <v>31</v>
      </c>
      <c r="C111" t="s">
        <v>14</v>
      </c>
      <c r="D111" t="s">
        <v>12</v>
      </c>
      <c r="E111">
        <v>56776</v>
      </c>
      <c r="F111">
        <v>1203</v>
      </c>
      <c r="G111">
        <v>10</v>
      </c>
    </row>
    <row r="112" spans="1:7" x14ac:dyDescent="0.3">
      <c r="A112">
        <v>1111</v>
      </c>
      <c r="B112" t="s">
        <v>10</v>
      </c>
      <c r="C112" t="s">
        <v>19</v>
      </c>
      <c r="D112" t="s">
        <v>12</v>
      </c>
      <c r="E112">
        <v>23817</v>
      </c>
      <c r="F112">
        <v>6841</v>
      </c>
      <c r="G112">
        <v>1</v>
      </c>
    </row>
    <row r="113" spans="1:7" x14ac:dyDescent="0.3">
      <c r="A113">
        <v>1112</v>
      </c>
      <c r="B113" t="s">
        <v>28</v>
      </c>
      <c r="C113" t="s">
        <v>14</v>
      </c>
      <c r="D113" t="s">
        <v>9</v>
      </c>
      <c r="E113">
        <v>30085</v>
      </c>
      <c r="F113">
        <v>1516</v>
      </c>
      <c r="G113">
        <v>10</v>
      </c>
    </row>
    <row r="114" spans="1:7" x14ac:dyDescent="0.3">
      <c r="A114">
        <v>1113</v>
      </c>
      <c r="B114" t="s">
        <v>34</v>
      </c>
      <c r="C114" t="s">
        <v>8</v>
      </c>
      <c r="D114" t="s">
        <v>12</v>
      </c>
      <c r="E114">
        <v>78637</v>
      </c>
      <c r="F114">
        <v>9118</v>
      </c>
      <c r="G114">
        <v>4</v>
      </c>
    </row>
    <row r="115" spans="1:7" x14ac:dyDescent="0.3">
      <c r="A115">
        <v>1114</v>
      </c>
      <c r="B115" t="s">
        <v>27</v>
      </c>
      <c r="C115" t="s">
        <v>14</v>
      </c>
      <c r="D115" t="s">
        <v>12</v>
      </c>
      <c r="E115">
        <v>78931</v>
      </c>
      <c r="F115">
        <v>1218</v>
      </c>
      <c r="G115">
        <v>3</v>
      </c>
    </row>
    <row r="116" spans="1:7" x14ac:dyDescent="0.3">
      <c r="A116">
        <v>1115</v>
      </c>
      <c r="B116" t="s">
        <v>10</v>
      </c>
      <c r="C116" t="s">
        <v>19</v>
      </c>
      <c r="D116" t="s">
        <v>15</v>
      </c>
      <c r="E116">
        <v>29392</v>
      </c>
      <c r="F116">
        <v>8527</v>
      </c>
      <c r="G116">
        <v>5</v>
      </c>
    </row>
    <row r="117" spans="1:7" x14ac:dyDescent="0.3">
      <c r="A117">
        <v>1116</v>
      </c>
      <c r="B117" t="s">
        <v>22</v>
      </c>
      <c r="C117" t="s">
        <v>14</v>
      </c>
      <c r="D117" t="s">
        <v>15</v>
      </c>
      <c r="E117">
        <v>28276</v>
      </c>
      <c r="F117">
        <v>5914</v>
      </c>
      <c r="G117">
        <v>4</v>
      </c>
    </row>
    <row r="118" spans="1:7" x14ac:dyDescent="0.3">
      <c r="A118">
        <v>1117</v>
      </c>
      <c r="B118" t="s">
        <v>26</v>
      </c>
      <c r="C118" t="s">
        <v>8</v>
      </c>
      <c r="D118" t="s">
        <v>9</v>
      </c>
      <c r="E118">
        <v>38807</v>
      </c>
      <c r="F118">
        <v>9823</v>
      </c>
      <c r="G118">
        <v>3</v>
      </c>
    </row>
    <row r="119" spans="1:7" x14ac:dyDescent="0.3">
      <c r="A119">
        <v>1118</v>
      </c>
      <c r="B119" t="s">
        <v>13</v>
      </c>
      <c r="C119" t="s">
        <v>19</v>
      </c>
      <c r="D119" t="s">
        <v>21</v>
      </c>
      <c r="E119">
        <v>33487</v>
      </c>
      <c r="F119">
        <v>4839</v>
      </c>
      <c r="G119">
        <v>2</v>
      </c>
    </row>
    <row r="120" spans="1:7" x14ac:dyDescent="0.3">
      <c r="A120">
        <v>1119</v>
      </c>
      <c r="B120" t="s">
        <v>29</v>
      </c>
      <c r="C120" t="s">
        <v>19</v>
      </c>
      <c r="D120" t="s">
        <v>9</v>
      </c>
      <c r="E120">
        <v>25317</v>
      </c>
      <c r="F120">
        <v>4802</v>
      </c>
      <c r="G120">
        <v>6</v>
      </c>
    </row>
    <row r="121" spans="1:7" x14ac:dyDescent="0.3">
      <c r="A121">
        <v>1120</v>
      </c>
      <c r="B121" t="s">
        <v>28</v>
      </c>
      <c r="C121" t="s">
        <v>8</v>
      </c>
      <c r="D121" t="s">
        <v>9</v>
      </c>
      <c r="E121">
        <v>28287</v>
      </c>
      <c r="F121">
        <v>8969</v>
      </c>
      <c r="G121">
        <v>7</v>
      </c>
    </row>
    <row r="122" spans="1:7" x14ac:dyDescent="0.3">
      <c r="A122">
        <v>1121</v>
      </c>
      <c r="B122" t="s">
        <v>29</v>
      </c>
      <c r="C122" t="s">
        <v>19</v>
      </c>
      <c r="D122" t="s">
        <v>21</v>
      </c>
      <c r="E122">
        <v>35399</v>
      </c>
      <c r="F122">
        <v>9317</v>
      </c>
      <c r="G122">
        <v>8</v>
      </c>
    </row>
    <row r="123" spans="1:7" x14ac:dyDescent="0.3">
      <c r="A123">
        <v>1122</v>
      </c>
      <c r="B123" t="s">
        <v>24</v>
      </c>
      <c r="C123" t="s">
        <v>14</v>
      </c>
      <c r="D123" t="s">
        <v>15</v>
      </c>
      <c r="E123">
        <v>46599</v>
      </c>
      <c r="F123">
        <v>4074</v>
      </c>
      <c r="G123">
        <v>10</v>
      </c>
    </row>
    <row r="124" spans="1:7" x14ac:dyDescent="0.3">
      <c r="A124">
        <v>1123</v>
      </c>
      <c r="B124" t="s">
        <v>20</v>
      </c>
      <c r="C124" t="s">
        <v>11</v>
      </c>
      <c r="D124" t="s">
        <v>12</v>
      </c>
      <c r="E124">
        <v>59734</v>
      </c>
      <c r="F124">
        <v>3246</v>
      </c>
      <c r="G124">
        <v>5</v>
      </c>
    </row>
    <row r="125" spans="1:7" x14ac:dyDescent="0.3">
      <c r="A125">
        <v>1124</v>
      </c>
      <c r="B125" t="s">
        <v>22</v>
      </c>
      <c r="C125" t="s">
        <v>8</v>
      </c>
      <c r="D125" t="s">
        <v>12</v>
      </c>
      <c r="E125">
        <v>25152</v>
      </c>
      <c r="F125">
        <v>5992</v>
      </c>
      <c r="G125">
        <v>1</v>
      </c>
    </row>
    <row r="126" spans="1:7" x14ac:dyDescent="0.3">
      <c r="A126">
        <v>1125</v>
      </c>
      <c r="B126" t="s">
        <v>32</v>
      </c>
      <c r="C126" t="s">
        <v>11</v>
      </c>
      <c r="D126" t="s">
        <v>21</v>
      </c>
      <c r="E126">
        <v>38456</v>
      </c>
      <c r="F126">
        <v>2384</v>
      </c>
      <c r="G126">
        <v>9</v>
      </c>
    </row>
    <row r="127" spans="1:7" x14ac:dyDescent="0.3">
      <c r="A127">
        <v>1126</v>
      </c>
      <c r="B127" t="s">
        <v>13</v>
      </c>
      <c r="C127" t="s">
        <v>11</v>
      </c>
      <c r="D127" t="s">
        <v>15</v>
      </c>
      <c r="E127">
        <v>71495</v>
      </c>
      <c r="F127">
        <v>5935</v>
      </c>
      <c r="G127">
        <v>5</v>
      </c>
    </row>
    <row r="128" spans="1:7" x14ac:dyDescent="0.3">
      <c r="A128">
        <v>1127</v>
      </c>
      <c r="B128" t="s">
        <v>20</v>
      </c>
      <c r="C128" t="s">
        <v>8</v>
      </c>
      <c r="D128" t="s">
        <v>9</v>
      </c>
      <c r="E128">
        <v>77769</v>
      </c>
      <c r="F128">
        <v>1746</v>
      </c>
      <c r="G128">
        <v>9</v>
      </c>
    </row>
    <row r="129" spans="1:7" x14ac:dyDescent="0.3">
      <c r="A129">
        <v>1128</v>
      </c>
      <c r="B129" t="s">
        <v>7</v>
      </c>
      <c r="C129" t="s">
        <v>8</v>
      </c>
      <c r="D129" t="s">
        <v>9</v>
      </c>
      <c r="E129">
        <v>31202</v>
      </c>
      <c r="F129">
        <v>6127</v>
      </c>
      <c r="G129">
        <v>4</v>
      </c>
    </row>
    <row r="130" spans="1:7" x14ac:dyDescent="0.3">
      <c r="A130">
        <v>1129</v>
      </c>
      <c r="B130" t="s">
        <v>30</v>
      </c>
      <c r="C130" t="s">
        <v>11</v>
      </c>
      <c r="D130" t="s">
        <v>12</v>
      </c>
      <c r="E130">
        <v>32732</v>
      </c>
      <c r="F130">
        <v>7132</v>
      </c>
      <c r="G130">
        <v>2</v>
      </c>
    </row>
    <row r="131" spans="1:7" x14ac:dyDescent="0.3">
      <c r="A131">
        <v>1130</v>
      </c>
      <c r="B131" t="s">
        <v>32</v>
      </c>
      <c r="C131" t="s">
        <v>11</v>
      </c>
      <c r="D131" t="s">
        <v>9</v>
      </c>
      <c r="E131">
        <v>62701</v>
      </c>
      <c r="F131">
        <v>9881</v>
      </c>
      <c r="G131">
        <v>6</v>
      </c>
    </row>
    <row r="132" spans="1:7" x14ac:dyDescent="0.3">
      <c r="A132">
        <v>1131</v>
      </c>
      <c r="B132" t="s">
        <v>24</v>
      </c>
      <c r="C132" t="s">
        <v>14</v>
      </c>
      <c r="D132" t="s">
        <v>9</v>
      </c>
      <c r="E132">
        <v>43824</v>
      </c>
      <c r="F132">
        <v>3196</v>
      </c>
      <c r="G132">
        <v>2</v>
      </c>
    </row>
    <row r="133" spans="1:7" x14ac:dyDescent="0.3">
      <c r="A133">
        <v>1132</v>
      </c>
      <c r="B133" t="s">
        <v>13</v>
      </c>
      <c r="C133" t="s">
        <v>8</v>
      </c>
      <c r="D133" t="s">
        <v>9</v>
      </c>
      <c r="E133">
        <v>70362</v>
      </c>
      <c r="F133">
        <v>5310</v>
      </c>
      <c r="G133">
        <v>6</v>
      </c>
    </row>
    <row r="134" spans="1:7" x14ac:dyDescent="0.3">
      <c r="A134">
        <v>1133</v>
      </c>
      <c r="B134" t="s">
        <v>18</v>
      </c>
      <c r="C134" t="s">
        <v>19</v>
      </c>
      <c r="D134" t="s">
        <v>9</v>
      </c>
      <c r="E134">
        <v>66281</v>
      </c>
      <c r="F134">
        <v>9057</v>
      </c>
      <c r="G134">
        <v>9</v>
      </c>
    </row>
    <row r="135" spans="1:7" x14ac:dyDescent="0.3">
      <c r="A135">
        <v>1134</v>
      </c>
      <c r="B135" t="s">
        <v>20</v>
      </c>
      <c r="C135" t="s">
        <v>11</v>
      </c>
      <c r="D135" t="s">
        <v>15</v>
      </c>
      <c r="E135">
        <v>62150</v>
      </c>
      <c r="F135">
        <v>5194</v>
      </c>
      <c r="G135">
        <v>5</v>
      </c>
    </row>
    <row r="136" spans="1:7" x14ac:dyDescent="0.3">
      <c r="A136">
        <v>1135</v>
      </c>
      <c r="B136" t="s">
        <v>29</v>
      </c>
      <c r="C136" t="s">
        <v>14</v>
      </c>
      <c r="D136" t="s">
        <v>15</v>
      </c>
      <c r="E136">
        <v>68466</v>
      </c>
      <c r="F136">
        <v>7926</v>
      </c>
      <c r="G136">
        <v>6</v>
      </c>
    </row>
    <row r="137" spans="1:7" x14ac:dyDescent="0.3">
      <c r="A137">
        <v>1136</v>
      </c>
      <c r="B137" t="s">
        <v>24</v>
      </c>
      <c r="C137" t="s">
        <v>11</v>
      </c>
      <c r="D137" t="s">
        <v>12</v>
      </c>
      <c r="E137">
        <v>35905</v>
      </c>
      <c r="F137">
        <v>8168</v>
      </c>
      <c r="G137">
        <v>5</v>
      </c>
    </row>
    <row r="138" spans="1:7" x14ac:dyDescent="0.3">
      <c r="A138">
        <v>1137</v>
      </c>
      <c r="B138" t="s">
        <v>26</v>
      </c>
      <c r="C138" t="s">
        <v>11</v>
      </c>
      <c r="D138" t="s">
        <v>15</v>
      </c>
      <c r="E138">
        <v>29337</v>
      </c>
      <c r="F138">
        <v>2840</v>
      </c>
      <c r="G138">
        <v>1</v>
      </c>
    </row>
    <row r="139" spans="1:7" x14ac:dyDescent="0.3">
      <c r="A139">
        <v>1138</v>
      </c>
      <c r="B139" t="s">
        <v>29</v>
      </c>
      <c r="C139" t="s">
        <v>8</v>
      </c>
      <c r="D139" t="s">
        <v>9</v>
      </c>
      <c r="E139">
        <v>62891</v>
      </c>
      <c r="F139">
        <v>7534</v>
      </c>
      <c r="G139">
        <v>7</v>
      </c>
    </row>
    <row r="140" spans="1:7" x14ac:dyDescent="0.3">
      <c r="A140">
        <v>1139</v>
      </c>
      <c r="B140" t="s">
        <v>7</v>
      </c>
      <c r="C140" t="s">
        <v>8</v>
      </c>
      <c r="D140" t="s">
        <v>12</v>
      </c>
      <c r="E140">
        <v>70278</v>
      </c>
      <c r="F140">
        <v>3722</v>
      </c>
      <c r="G140">
        <v>4</v>
      </c>
    </row>
    <row r="141" spans="1:7" x14ac:dyDescent="0.3">
      <c r="A141">
        <v>1140</v>
      </c>
      <c r="B141" t="s">
        <v>30</v>
      </c>
      <c r="C141" t="s">
        <v>14</v>
      </c>
      <c r="D141" t="s">
        <v>21</v>
      </c>
      <c r="E141">
        <v>42516</v>
      </c>
      <c r="F141">
        <v>4527</v>
      </c>
      <c r="G141">
        <v>2</v>
      </c>
    </row>
    <row r="142" spans="1:7" x14ac:dyDescent="0.3">
      <c r="A142">
        <v>1141</v>
      </c>
      <c r="B142" t="s">
        <v>33</v>
      </c>
      <c r="C142" t="s">
        <v>8</v>
      </c>
      <c r="D142" t="s">
        <v>21</v>
      </c>
      <c r="E142">
        <v>47585</v>
      </c>
      <c r="F142">
        <v>9569</v>
      </c>
      <c r="G142">
        <v>5</v>
      </c>
    </row>
    <row r="143" spans="1:7" x14ac:dyDescent="0.3">
      <c r="A143">
        <v>1142</v>
      </c>
      <c r="B143" t="s">
        <v>17</v>
      </c>
      <c r="C143" t="s">
        <v>11</v>
      </c>
      <c r="D143" t="s">
        <v>12</v>
      </c>
      <c r="E143">
        <v>39651</v>
      </c>
      <c r="F143">
        <v>1339</v>
      </c>
      <c r="G143">
        <v>6</v>
      </c>
    </row>
    <row r="144" spans="1:7" x14ac:dyDescent="0.3">
      <c r="A144">
        <v>1143</v>
      </c>
      <c r="B144" t="s">
        <v>23</v>
      </c>
      <c r="C144" t="s">
        <v>14</v>
      </c>
      <c r="D144" t="s">
        <v>12</v>
      </c>
      <c r="E144">
        <v>57341</v>
      </c>
      <c r="F144">
        <v>4129</v>
      </c>
      <c r="G144">
        <v>4</v>
      </c>
    </row>
    <row r="145" spans="1:7" x14ac:dyDescent="0.3">
      <c r="A145">
        <v>1144</v>
      </c>
      <c r="B145" t="s">
        <v>16</v>
      </c>
      <c r="C145" t="s">
        <v>19</v>
      </c>
      <c r="D145" t="s">
        <v>12</v>
      </c>
      <c r="E145">
        <v>24667</v>
      </c>
      <c r="F145">
        <v>7693</v>
      </c>
      <c r="G145">
        <v>3</v>
      </c>
    </row>
    <row r="146" spans="1:7" x14ac:dyDescent="0.3">
      <c r="A146">
        <v>1145</v>
      </c>
      <c r="B146" t="s">
        <v>24</v>
      </c>
      <c r="C146" t="s">
        <v>19</v>
      </c>
      <c r="D146" t="s">
        <v>21</v>
      </c>
      <c r="E146">
        <v>21739</v>
      </c>
      <c r="F146">
        <v>7379</v>
      </c>
      <c r="G146">
        <v>8</v>
      </c>
    </row>
    <row r="147" spans="1:7" x14ac:dyDescent="0.3">
      <c r="A147">
        <v>1146</v>
      </c>
      <c r="B147" t="s">
        <v>22</v>
      </c>
      <c r="C147" t="s">
        <v>14</v>
      </c>
      <c r="D147" t="s">
        <v>21</v>
      </c>
      <c r="E147">
        <v>58099</v>
      </c>
      <c r="F147">
        <v>5243</v>
      </c>
      <c r="G147">
        <v>5</v>
      </c>
    </row>
    <row r="148" spans="1:7" x14ac:dyDescent="0.3">
      <c r="A148">
        <v>1147</v>
      </c>
      <c r="B148" t="s">
        <v>13</v>
      </c>
      <c r="C148" t="s">
        <v>14</v>
      </c>
      <c r="D148" t="s">
        <v>15</v>
      </c>
      <c r="E148">
        <v>47929</v>
      </c>
      <c r="F148">
        <v>4306</v>
      </c>
      <c r="G148">
        <v>6</v>
      </c>
    </row>
    <row r="149" spans="1:7" x14ac:dyDescent="0.3">
      <c r="A149">
        <v>1148</v>
      </c>
      <c r="B149" t="s">
        <v>27</v>
      </c>
      <c r="C149" t="s">
        <v>8</v>
      </c>
      <c r="D149" t="s">
        <v>21</v>
      </c>
      <c r="E149">
        <v>22609</v>
      </c>
      <c r="F149">
        <v>7674</v>
      </c>
      <c r="G149">
        <v>7</v>
      </c>
    </row>
    <row r="150" spans="1:7" x14ac:dyDescent="0.3">
      <c r="A150">
        <v>1149</v>
      </c>
      <c r="B150" t="s">
        <v>34</v>
      </c>
      <c r="C150" t="s">
        <v>19</v>
      </c>
      <c r="D150" t="s">
        <v>15</v>
      </c>
      <c r="E150">
        <v>46977</v>
      </c>
      <c r="F150">
        <v>3949</v>
      </c>
      <c r="G150">
        <v>3</v>
      </c>
    </row>
    <row r="151" spans="1:7" x14ac:dyDescent="0.3">
      <c r="A151">
        <v>1150</v>
      </c>
      <c r="B151" t="s">
        <v>18</v>
      </c>
      <c r="C151" t="s">
        <v>19</v>
      </c>
      <c r="D151" t="s">
        <v>21</v>
      </c>
      <c r="E151">
        <v>60494</v>
      </c>
      <c r="F151">
        <v>4222</v>
      </c>
      <c r="G151">
        <v>5</v>
      </c>
    </row>
    <row r="152" spans="1:7" x14ac:dyDescent="0.3">
      <c r="A152">
        <v>1151</v>
      </c>
      <c r="B152" t="s">
        <v>34</v>
      </c>
      <c r="C152" t="s">
        <v>11</v>
      </c>
      <c r="D152" t="s">
        <v>15</v>
      </c>
      <c r="E152">
        <v>76345</v>
      </c>
      <c r="F152">
        <v>4343</v>
      </c>
      <c r="G152">
        <v>3</v>
      </c>
    </row>
    <row r="153" spans="1:7" x14ac:dyDescent="0.3">
      <c r="A153">
        <v>1152</v>
      </c>
      <c r="B153" t="s">
        <v>10</v>
      </c>
      <c r="C153" t="s">
        <v>19</v>
      </c>
      <c r="D153" t="s">
        <v>12</v>
      </c>
      <c r="E153">
        <v>57626</v>
      </c>
      <c r="F153">
        <v>6698</v>
      </c>
      <c r="G153">
        <v>9</v>
      </c>
    </row>
    <row r="154" spans="1:7" x14ac:dyDescent="0.3">
      <c r="A154">
        <v>1153</v>
      </c>
      <c r="B154" t="s">
        <v>29</v>
      </c>
      <c r="C154" t="s">
        <v>19</v>
      </c>
      <c r="D154" t="s">
        <v>12</v>
      </c>
      <c r="E154">
        <v>44248</v>
      </c>
      <c r="F154">
        <v>3806</v>
      </c>
      <c r="G154">
        <v>8</v>
      </c>
    </row>
    <row r="155" spans="1:7" x14ac:dyDescent="0.3">
      <c r="A155">
        <v>1154</v>
      </c>
      <c r="B155" t="s">
        <v>27</v>
      </c>
      <c r="C155" t="s">
        <v>19</v>
      </c>
      <c r="D155" t="s">
        <v>15</v>
      </c>
      <c r="E155">
        <v>78746</v>
      </c>
      <c r="F155">
        <v>1003</v>
      </c>
      <c r="G155">
        <v>10</v>
      </c>
    </row>
    <row r="156" spans="1:7" x14ac:dyDescent="0.3">
      <c r="A156">
        <v>1155</v>
      </c>
      <c r="B156" t="s">
        <v>20</v>
      </c>
      <c r="C156" t="s">
        <v>19</v>
      </c>
      <c r="D156" t="s">
        <v>21</v>
      </c>
      <c r="E156">
        <v>33611</v>
      </c>
      <c r="F156">
        <v>6183</v>
      </c>
      <c r="G156">
        <v>7</v>
      </c>
    </row>
    <row r="157" spans="1:7" x14ac:dyDescent="0.3">
      <c r="A157">
        <v>1156</v>
      </c>
      <c r="B157" t="s">
        <v>29</v>
      </c>
      <c r="C157" t="s">
        <v>14</v>
      </c>
      <c r="D157" t="s">
        <v>21</v>
      </c>
      <c r="E157">
        <v>33415</v>
      </c>
      <c r="F157">
        <v>7380</v>
      </c>
      <c r="G157">
        <v>1</v>
      </c>
    </row>
    <row r="158" spans="1:7" x14ac:dyDescent="0.3">
      <c r="A158">
        <v>1157</v>
      </c>
      <c r="B158" t="s">
        <v>16</v>
      </c>
      <c r="C158" t="s">
        <v>14</v>
      </c>
      <c r="D158" t="s">
        <v>12</v>
      </c>
      <c r="E158">
        <v>31503</v>
      </c>
      <c r="F158">
        <v>3768</v>
      </c>
      <c r="G158">
        <v>2</v>
      </c>
    </row>
    <row r="159" spans="1:7" x14ac:dyDescent="0.3">
      <c r="A159">
        <v>1158</v>
      </c>
      <c r="B159" t="s">
        <v>28</v>
      </c>
      <c r="C159" t="s">
        <v>19</v>
      </c>
      <c r="D159" t="s">
        <v>9</v>
      </c>
      <c r="E159">
        <v>54251</v>
      </c>
      <c r="F159">
        <v>6419</v>
      </c>
      <c r="G159">
        <v>5</v>
      </c>
    </row>
    <row r="160" spans="1:7" x14ac:dyDescent="0.3">
      <c r="A160">
        <v>1159</v>
      </c>
      <c r="B160" t="s">
        <v>17</v>
      </c>
      <c r="C160" t="s">
        <v>11</v>
      </c>
      <c r="D160" t="s">
        <v>9</v>
      </c>
      <c r="E160">
        <v>45175</v>
      </c>
      <c r="F160">
        <v>8040</v>
      </c>
      <c r="G160">
        <v>10</v>
      </c>
    </row>
    <row r="161" spans="1:7" x14ac:dyDescent="0.3">
      <c r="A161">
        <v>1160</v>
      </c>
      <c r="B161" t="s">
        <v>18</v>
      </c>
      <c r="C161" t="s">
        <v>8</v>
      </c>
      <c r="D161" t="s">
        <v>21</v>
      </c>
      <c r="E161">
        <v>70498</v>
      </c>
      <c r="F161">
        <v>5555</v>
      </c>
      <c r="G161">
        <v>9</v>
      </c>
    </row>
    <row r="162" spans="1:7" x14ac:dyDescent="0.3">
      <c r="A162">
        <v>1161</v>
      </c>
      <c r="B162" t="s">
        <v>29</v>
      </c>
      <c r="C162" t="s">
        <v>19</v>
      </c>
      <c r="D162" t="s">
        <v>12</v>
      </c>
      <c r="E162">
        <v>55331</v>
      </c>
      <c r="F162">
        <v>5247</v>
      </c>
      <c r="G162">
        <v>5</v>
      </c>
    </row>
    <row r="163" spans="1:7" x14ac:dyDescent="0.3">
      <c r="A163">
        <v>1162</v>
      </c>
      <c r="B163" t="s">
        <v>20</v>
      </c>
      <c r="C163" t="s">
        <v>19</v>
      </c>
      <c r="D163" t="s">
        <v>15</v>
      </c>
      <c r="E163">
        <v>64798</v>
      </c>
      <c r="F163">
        <v>9017</v>
      </c>
      <c r="G163">
        <v>5</v>
      </c>
    </row>
    <row r="164" spans="1:7" x14ac:dyDescent="0.3">
      <c r="A164">
        <v>1163</v>
      </c>
      <c r="B164" t="s">
        <v>30</v>
      </c>
      <c r="C164" t="s">
        <v>14</v>
      </c>
      <c r="D164" t="s">
        <v>15</v>
      </c>
      <c r="E164">
        <v>63306</v>
      </c>
      <c r="F164">
        <v>2001</v>
      </c>
      <c r="G164">
        <v>2</v>
      </c>
    </row>
    <row r="165" spans="1:7" x14ac:dyDescent="0.3">
      <c r="A165">
        <v>1164</v>
      </c>
      <c r="B165" t="s">
        <v>27</v>
      </c>
      <c r="C165" t="s">
        <v>14</v>
      </c>
      <c r="D165" t="s">
        <v>12</v>
      </c>
      <c r="E165">
        <v>71398</v>
      </c>
      <c r="F165">
        <v>5683</v>
      </c>
      <c r="G165">
        <v>6</v>
      </c>
    </row>
    <row r="166" spans="1:7" x14ac:dyDescent="0.3">
      <c r="A166">
        <v>1165</v>
      </c>
      <c r="B166" t="s">
        <v>26</v>
      </c>
      <c r="C166" t="s">
        <v>19</v>
      </c>
      <c r="D166" t="s">
        <v>9</v>
      </c>
      <c r="E166">
        <v>21242</v>
      </c>
      <c r="F166">
        <v>4151</v>
      </c>
      <c r="G166">
        <v>8</v>
      </c>
    </row>
    <row r="167" spans="1:7" x14ac:dyDescent="0.3">
      <c r="A167">
        <v>1166</v>
      </c>
      <c r="B167" t="s">
        <v>30</v>
      </c>
      <c r="C167" t="s">
        <v>14</v>
      </c>
      <c r="D167" t="s">
        <v>12</v>
      </c>
      <c r="E167">
        <v>46098</v>
      </c>
      <c r="F167">
        <v>2242</v>
      </c>
      <c r="G167">
        <v>2</v>
      </c>
    </row>
    <row r="168" spans="1:7" x14ac:dyDescent="0.3">
      <c r="A168">
        <v>1167</v>
      </c>
      <c r="B168" t="s">
        <v>34</v>
      </c>
      <c r="C168" t="s">
        <v>8</v>
      </c>
      <c r="D168" t="s">
        <v>15</v>
      </c>
      <c r="E168">
        <v>78975</v>
      </c>
      <c r="F168">
        <v>7971</v>
      </c>
      <c r="G168">
        <v>1</v>
      </c>
    </row>
    <row r="169" spans="1:7" x14ac:dyDescent="0.3">
      <c r="A169">
        <v>1168</v>
      </c>
      <c r="B169" t="s">
        <v>16</v>
      </c>
      <c r="C169" t="s">
        <v>19</v>
      </c>
      <c r="D169" t="s">
        <v>12</v>
      </c>
      <c r="E169">
        <v>26070</v>
      </c>
      <c r="F169">
        <v>6110</v>
      </c>
      <c r="G169">
        <v>8</v>
      </c>
    </row>
    <row r="170" spans="1:7" x14ac:dyDescent="0.3">
      <c r="A170">
        <v>1169</v>
      </c>
      <c r="B170" t="s">
        <v>25</v>
      </c>
      <c r="C170" t="s">
        <v>19</v>
      </c>
      <c r="D170" t="s">
        <v>9</v>
      </c>
      <c r="E170">
        <v>20631</v>
      </c>
      <c r="F170">
        <v>2822</v>
      </c>
      <c r="G170">
        <v>3</v>
      </c>
    </row>
    <row r="171" spans="1:7" x14ac:dyDescent="0.3">
      <c r="A171">
        <v>1170</v>
      </c>
      <c r="B171" t="s">
        <v>17</v>
      </c>
      <c r="C171" t="s">
        <v>19</v>
      </c>
      <c r="D171" t="s">
        <v>9</v>
      </c>
      <c r="E171">
        <v>35132</v>
      </c>
      <c r="F171">
        <v>8238</v>
      </c>
      <c r="G171">
        <v>3</v>
      </c>
    </row>
    <row r="172" spans="1:7" x14ac:dyDescent="0.3">
      <c r="A172">
        <v>1171</v>
      </c>
      <c r="B172" t="s">
        <v>27</v>
      </c>
      <c r="C172" t="s">
        <v>19</v>
      </c>
      <c r="D172" t="s">
        <v>21</v>
      </c>
      <c r="E172">
        <v>44462</v>
      </c>
      <c r="F172">
        <v>9032</v>
      </c>
      <c r="G172">
        <v>3</v>
      </c>
    </row>
    <row r="173" spans="1:7" x14ac:dyDescent="0.3">
      <c r="A173">
        <v>1172</v>
      </c>
      <c r="B173" t="s">
        <v>28</v>
      </c>
      <c r="C173" t="s">
        <v>11</v>
      </c>
      <c r="D173" t="s">
        <v>9</v>
      </c>
      <c r="E173">
        <v>34266</v>
      </c>
      <c r="F173">
        <v>3393</v>
      </c>
      <c r="G173">
        <v>8</v>
      </c>
    </row>
    <row r="174" spans="1:7" x14ac:dyDescent="0.3">
      <c r="A174">
        <v>1173</v>
      </c>
      <c r="B174" t="s">
        <v>13</v>
      </c>
      <c r="C174" t="s">
        <v>11</v>
      </c>
      <c r="D174" t="s">
        <v>21</v>
      </c>
      <c r="E174">
        <v>30560</v>
      </c>
      <c r="F174">
        <v>1838</v>
      </c>
      <c r="G174">
        <v>5</v>
      </c>
    </row>
    <row r="175" spans="1:7" x14ac:dyDescent="0.3">
      <c r="A175">
        <v>1174</v>
      </c>
      <c r="B175" t="s">
        <v>28</v>
      </c>
      <c r="C175" t="s">
        <v>8</v>
      </c>
      <c r="D175" t="s">
        <v>9</v>
      </c>
      <c r="E175">
        <v>51855</v>
      </c>
      <c r="F175">
        <v>9985</v>
      </c>
      <c r="G175">
        <v>10</v>
      </c>
    </row>
    <row r="176" spans="1:7" x14ac:dyDescent="0.3">
      <c r="A176">
        <v>1175</v>
      </c>
      <c r="B176" t="s">
        <v>18</v>
      </c>
      <c r="C176" t="s">
        <v>19</v>
      </c>
      <c r="D176" t="s">
        <v>21</v>
      </c>
      <c r="E176">
        <v>35005</v>
      </c>
      <c r="F176">
        <v>3384</v>
      </c>
      <c r="G176">
        <v>7</v>
      </c>
    </row>
    <row r="177" spans="1:7" x14ac:dyDescent="0.3">
      <c r="A177">
        <v>1176</v>
      </c>
      <c r="B177" t="s">
        <v>31</v>
      </c>
      <c r="C177" t="s">
        <v>11</v>
      </c>
      <c r="D177" t="s">
        <v>12</v>
      </c>
      <c r="E177">
        <v>37553</v>
      </c>
      <c r="F177">
        <v>6097</v>
      </c>
      <c r="G177">
        <v>1</v>
      </c>
    </row>
    <row r="178" spans="1:7" x14ac:dyDescent="0.3">
      <c r="A178">
        <v>1177</v>
      </c>
      <c r="B178" t="s">
        <v>20</v>
      </c>
      <c r="C178" t="s">
        <v>11</v>
      </c>
      <c r="D178" t="s">
        <v>12</v>
      </c>
      <c r="E178">
        <v>58007</v>
      </c>
      <c r="F178">
        <v>4127</v>
      </c>
      <c r="G178">
        <v>6</v>
      </c>
    </row>
    <row r="179" spans="1:7" x14ac:dyDescent="0.3">
      <c r="A179">
        <v>1178</v>
      </c>
      <c r="B179" t="s">
        <v>26</v>
      </c>
      <c r="C179" t="s">
        <v>8</v>
      </c>
      <c r="D179" t="s">
        <v>12</v>
      </c>
      <c r="E179">
        <v>44886</v>
      </c>
      <c r="F179">
        <v>3752</v>
      </c>
      <c r="G179">
        <v>8</v>
      </c>
    </row>
    <row r="180" spans="1:7" x14ac:dyDescent="0.3">
      <c r="A180">
        <v>1179</v>
      </c>
      <c r="B180" t="s">
        <v>31</v>
      </c>
      <c r="C180" t="s">
        <v>8</v>
      </c>
      <c r="D180" t="s">
        <v>12</v>
      </c>
      <c r="E180">
        <v>21895</v>
      </c>
      <c r="F180">
        <v>5325</v>
      </c>
      <c r="G180">
        <v>9</v>
      </c>
    </row>
    <row r="181" spans="1:7" x14ac:dyDescent="0.3">
      <c r="A181">
        <v>1180</v>
      </c>
      <c r="B181" t="s">
        <v>27</v>
      </c>
      <c r="C181" t="s">
        <v>14</v>
      </c>
      <c r="D181" t="s">
        <v>9</v>
      </c>
      <c r="E181">
        <v>67885</v>
      </c>
      <c r="F181">
        <v>8490</v>
      </c>
      <c r="G181">
        <v>2</v>
      </c>
    </row>
    <row r="182" spans="1:7" x14ac:dyDescent="0.3">
      <c r="A182">
        <v>1181</v>
      </c>
      <c r="B182" t="s">
        <v>33</v>
      </c>
      <c r="C182" t="s">
        <v>14</v>
      </c>
      <c r="D182" t="s">
        <v>12</v>
      </c>
      <c r="E182">
        <v>54803</v>
      </c>
      <c r="F182">
        <v>9775</v>
      </c>
      <c r="G182">
        <v>6</v>
      </c>
    </row>
    <row r="183" spans="1:7" x14ac:dyDescent="0.3">
      <c r="A183">
        <v>1182</v>
      </c>
      <c r="B183" t="s">
        <v>20</v>
      </c>
      <c r="C183" t="s">
        <v>14</v>
      </c>
      <c r="D183" t="s">
        <v>15</v>
      </c>
      <c r="E183">
        <v>33998</v>
      </c>
      <c r="F183">
        <v>9740</v>
      </c>
      <c r="G183">
        <v>1</v>
      </c>
    </row>
    <row r="184" spans="1:7" x14ac:dyDescent="0.3">
      <c r="A184">
        <v>1183</v>
      </c>
      <c r="B184" t="s">
        <v>13</v>
      </c>
      <c r="C184" t="s">
        <v>14</v>
      </c>
      <c r="D184" t="s">
        <v>15</v>
      </c>
      <c r="E184">
        <v>42192</v>
      </c>
      <c r="F184">
        <v>4501</v>
      </c>
      <c r="G184">
        <v>1</v>
      </c>
    </row>
    <row r="185" spans="1:7" x14ac:dyDescent="0.3">
      <c r="A185">
        <v>1184</v>
      </c>
      <c r="B185" t="s">
        <v>23</v>
      </c>
      <c r="C185" t="s">
        <v>11</v>
      </c>
      <c r="D185" t="s">
        <v>15</v>
      </c>
      <c r="E185">
        <v>38608</v>
      </c>
      <c r="F185">
        <v>1166</v>
      </c>
      <c r="G185">
        <v>7</v>
      </c>
    </row>
    <row r="186" spans="1:7" x14ac:dyDescent="0.3">
      <c r="A186">
        <v>1185</v>
      </c>
      <c r="B186" t="s">
        <v>30</v>
      </c>
      <c r="C186" t="s">
        <v>8</v>
      </c>
      <c r="D186" t="s">
        <v>9</v>
      </c>
      <c r="E186">
        <v>56134</v>
      </c>
      <c r="F186">
        <v>2119</v>
      </c>
      <c r="G186">
        <v>3</v>
      </c>
    </row>
    <row r="187" spans="1:7" x14ac:dyDescent="0.3">
      <c r="A187">
        <v>1186</v>
      </c>
      <c r="B187" t="s">
        <v>27</v>
      </c>
      <c r="C187" t="s">
        <v>19</v>
      </c>
      <c r="D187" t="s">
        <v>9</v>
      </c>
      <c r="E187">
        <v>47213</v>
      </c>
      <c r="F187">
        <v>2028</v>
      </c>
      <c r="G187">
        <v>3</v>
      </c>
    </row>
    <row r="188" spans="1:7" x14ac:dyDescent="0.3">
      <c r="A188">
        <v>1187</v>
      </c>
      <c r="B188" t="s">
        <v>7</v>
      </c>
      <c r="C188" t="s">
        <v>8</v>
      </c>
      <c r="D188" t="s">
        <v>9</v>
      </c>
      <c r="E188">
        <v>31666</v>
      </c>
      <c r="F188">
        <v>1066</v>
      </c>
      <c r="G188">
        <v>7</v>
      </c>
    </row>
    <row r="189" spans="1:7" x14ac:dyDescent="0.3">
      <c r="A189">
        <v>1188</v>
      </c>
      <c r="B189" t="s">
        <v>32</v>
      </c>
      <c r="C189" t="s">
        <v>8</v>
      </c>
      <c r="D189" t="s">
        <v>9</v>
      </c>
      <c r="E189">
        <v>32596</v>
      </c>
      <c r="F189">
        <v>1819</v>
      </c>
      <c r="G189">
        <v>10</v>
      </c>
    </row>
    <row r="190" spans="1:7" x14ac:dyDescent="0.3">
      <c r="A190">
        <v>1189</v>
      </c>
      <c r="B190" t="s">
        <v>30</v>
      </c>
      <c r="C190" t="s">
        <v>11</v>
      </c>
      <c r="D190" t="s">
        <v>12</v>
      </c>
      <c r="E190">
        <v>69517</v>
      </c>
      <c r="F190">
        <v>3075</v>
      </c>
      <c r="G190">
        <v>7</v>
      </c>
    </row>
    <row r="191" spans="1:7" x14ac:dyDescent="0.3">
      <c r="A191">
        <v>1190</v>
      </c>
      <c r="B191" t="s">
        <v>7</v>
      </c>
      <c r="C191" t="s">
        <v>14</v>
      </c>
      <c r="D191" t="s">
        <v>15</v>
      </c>
      <c r="E191">
        <v>55079</v>
      </c>
      <c r="F191">
        <v>9032</v>
      </c>
      <c r="G191">
        <v>7</v>
      </c>
    </row>
    <row r="192" spans="1:7" x14ac:dyDescent="0.3">
      <c r="A192">
        <v>1191</v>
      </c>
      <c r="B192" t="s">
        <v>13</v>
      </c>
      <c r="C192" t="s">
        <v>11</v>
      </c>
      <c r="D192" t="s">
        <v>9</v>
      </c>
      <c r="E192">
        <v>66992</v>
      </c>
      <c r="F192">
        <v>9201</v>
      </c>
      <c r="G192">
        <v>4</v>
      </c>
    </row>
    <row r="193" spans="1:7" x14ac:dyDescent="0.3">
      <c r="A193">
        <v>1192</v>
      </c>
      <c r="B193" t="s">
        <v>20</v>
      </c>
      <c r="C193" t="s">
        <v>8</v>
      </c>
      <c r="D193" t="s">
        <v>21</v>
      </c>
      <c r="E193">
        <v>44664</v>
      </c>
      <c r="F193">
        <v>8413</v>
      </c>
      <c r="G193">
        <v>6</v>
      </c>
    </row>
    <row r="194" spans="1:7" x14ac:dyDescent="0.3">
      <c r="A194">
        <v>1193</v>
      </c>
      <c r="B194" t="s">
        <v>32</v>
      </c>
      <c r="C194" t="s">
        <v>14</v>
      </c>
      <c r="D194" t="s">
        <v>15</v>
      </c>
      <c r="E194">
        <v>47580</v>
      </c>
      <c r="F194">
        <v>4552</v>
      </c>
      <c r="G194">
        <v>6</v>
      </c>
    </row>
    <row r="195" spans="1:7" x14ac:dyDescent="0.3">
      <c r="A195">
        <v>1194</v>
      </c>
      <c r="B195" t="s">
        <v>13</v>
      </c>
      <c r="C195" t="s">
        <v>8</v>
      </c>
      <c r="D195" t="s">
        <v>21</v>
      </c>
      <c r="E195">
        <v>36345</v>
      </c>
      <c r="F195">
        <v>9023</v>
      </c>
      <c r="G195">
        <v>6</v>
      </c>
    </row>
    <row r="196" spans="1:7" x14ac:dyDescent="0.3">
      <c r="A196">
        <v>1195</v>
      </c>
      <c r="B196" t="s">
        <v>33</v>
      </c>
      <c r="C196" t="s">
        <v>8</v>
      </c>
      <c r="D196" t="s">
        <v>15</v>
      </c>
      <c r="E196">
        <v>52111</v>
      </c>
      <c r="F196">
        <v>5478</v>
      </c>
      <c r="G196">
        <v>9</v>
      </c>
    </row>
    <row r="197" spans="1:7" x14ac:dyDescent="0.3">
      <c r="A197">
        <v>1196</v>
      </c>
      <c r="B197" t="s">
        <v>26</v>
      </c>
      <c r="C197" t="s">
        <v>11</v>
      </c>
      <c r="D197" t="s">
        <v>21</v>
      </c>
      <c r="E197">
        <v>64671</v>
      </c>
      <c r="F197">
        <v>8872</v>
      </c>
      <c r="G197">
        <v>2</v>
      </c>
    </row>
    <row r="198" spans="1:7" x14ac:dyDescent="0.3">
      <c r="A198">
        <v>1197</v>
      </c>
      <c r="B198" t="s">
        <v>13</v>
      </c>
      <c r="C198" t="s">
        <v>11</v>
      </c>
      <c r="D198" t="s">
        <v>12</v>
      </c>
      <c r="E198">
        <v>40141</v>
      </c>
      <c r="F198">
        <v>8464</v>
      </c>
      <c r="G198">
        <v>5</v>
      </c>
    </row>
    <row r="199" spans="1:7" x14ac:dyDescent="0.3">
      <c r="A199">
        <v>1198</v>
      </c>
      <c r="B199" t="s">
        <v>18</v>
      </c>
      <c r="C199" t="s">
        <v>14</v>
      </c>
      <c r="D199" t="s">
        <v>21</v>
      </c>
      <c r="E199">
        <v>43489</v>
      </c>
      <c r="F199">
        <v>2907</v>
      </c>
      <c r="G199">
        <v>4</v>
      </c>
    </row>
    <row r="200" spans="1:7" x14ac:dyDescent="0.3">
      <c r="A200">
        <v>1199</v>
      </c>
      <c r="B200" t="s">
        <v>24</v>
      </c>
      <c r="C200" t="s">
        <v>8</v>
      </c>
      <c r="D200" t="s">
        <v>15</v>
      </c>
      <c r="E200">
        <v>69522</v>
      </c>
      <c r="F200">
        <v>7203</v>
      </c>
      <c r="G200">
        <v>7</v>
      </c>
    </row>
    <row r="201" spans="1:7" x14ac:dyDescent="0.3">
      <c r="A201">
        <v>1200</v>
      </c>
      <c r="B201" t="s">
        <v>31</v>
      </c>
      <c r="C201" t="s">
        <v>8</v>
      </c>
      <c r="D201" t="s">
        <v>15</v>
      </c>
      <c r="E201">
        <v>31001</v>
      </c>
      <c r="F201">
        <v>6324</v>
      </c>
      <c r="G201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0B87-6582-4821-A154-B01BA5AB252B}">
  <dimension ref="A1:Q201"/>
  <sheetViews>
    <sheetView topLeftCell="A4" workbookViewId="0">
      <selection activeCell="B5" sqref="B5"/>
    </sheetView>
  </sheetViews>
  <sheetFormatPr defaultRowHeight="14.4" x14ac:dyDescent="0.3"/>
  <cols>
    <col min="1" max="1" width="7.33203125" bestFit="1" customWidth="1"/>
    <col min="2" max="2" width="6.77734375" bestFit="1" customWidth="1"/>
    <col min="3" max="3" width="10.77734375" bestFit="1" customWidth="1"/>
    <col min="4" max="4" width="6.5546875" bestFit="1" customWidth="1"/>
    <col min="5" max="6" width="6" bestFit="1" customWidth="1"/>
    <col min="7" max="7" width="15.44140625" bestFit="1" customWidth="1"/>
    <col min="14" max="14" width="16.6640625" customWidth="1"/>
    <col min="15" max="15" width="14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7" x14ac:dyDescent="0.3">
      <c r="A2" s="1">
        <v>1001</v>
      </c>
      <c r="B2" s="1" t="s">
        <v>7</v>
      </c>
      <c r="C2" s="1" t="s">
        <v>8</v>
      </c>
      <c r="D2" s="1" t="s">
        <v>9</v>
      </c>
      <c r="E2" s="1">
        <v>50226</v>
      </c>
      <c r="F2" s="1">
        <v>5581</v>
      </c>
      <c r="G2" s="1">
        <v>4</v>
      </c>
    </row>
    <row r="3" spans="1:17" x14ac:dyDescent="0.3">
      <c r="A3" s="1">
        <v>1002</v>
      </c>
      <c r="B3" s="1" t="s">
        <v>10</v>
      </c>
      <c r="C3" s="1" t="s">
        <v>11</v>
      </c>
      <c r="D3" s="1" t="s">
        <v>12</v>
      </c>
      <c r="E3" s="1">
        <v>20625</v>
      </c>
      <c r="F3" s="1">
        <v>6504</v>
      </c>
      <c r="G3" s="1">
        <v>8</v>
      </c>
    </row>
    <row r="4" spans="1:17" ht="15" thickBot="1" x14ac:dyDescent="0.35">
      <c r="A4" s="1">
        <v>1003</v>
      </c>
      <c r="B4" s="1" t="s">
        <v>13</v>
      </c>
      <c r="C4" s="1" t="s">
        <v>14</v>
      </c>
      <c r="D4" s="1" t="s">
        <v>15</v>
      </c>
      <c r="E4" s="1">
        <v>54226</v>
      </c>
      <c r="F4" s="1">
        <v>8405</v>
      </c>
      <c r="G4" s="1">
        <v>1</v>
      </c>
    </row>
    <row r="5" spans="1:17" x14ac:dyDescent="0.3">
      <c r="A5" s="1">
        <v>1004</v>
      </c>
      <c r="B5" s="1" t="s">
        <v>16</v>
      </c>
      <c r="C5" s="1" t="s">
        <v>14</v>
      </c>
      <c r="D5" s="1" t="s">
        <v>12</v>
      </c>
      <c r="E5" s="1">
        <v>20937</v>
      </c>
      <c r="F5" s="1">
        <v>9217</v>
      </c>
      <c r="G5" s="1">
        <v>3</v>
      </c>
      <c r="M5" s="3" t="s">
        <v>36</v>
      </c>
      <c r="N5" s="4"/>
      <c r="O5" s="2"/>
      <c r="P5" s="2"/>
    </row>
    <row r="6" spans="1:17" x14ac:dyDescent="0.3">
      <c r="A6" s="1">
        <v>1005</v>
      </c>
      <c r="B6" s="1" t="s">
        <v>17</v>
      </c>
      <c r="C6" s="1" t="s">
        <v>8</v>
      </c>
      <c r="D6" s="1" t="s">
        <v>9</v>
      </c>
      <c r="E6" s="1">
        <v>76227</v>
      </c>
      <c r="F6" s="1">
        <v>7057</v>
      </c>
      <c r="G6" s="1">
        <v>5</v>
      </c>
      <c r="M6" s="1" t="s">
        <v>3</v>
      </c>
      <c r="N6" s="1" t="s">
        <v>37</v>
      </c>
    </row>
    <row r="7" spans="1:17" x14ac:dyDescent="0.3">
      <c r="A7" s="1">
        <v>1006</v>
      </c>
      <c r="B7" s="1" t="s">
        <v>18</v>
      </c>
      <c r="C7" s="1" t="s">
        <v>11</v>
      </c>
      <c r="D7" s="1" t="s">
        <v>12</v>
      </c>
      <c r="E7" s="1">
        <v>67297</v>
      </c>
      <c r="F7" s="1">
        <v>8259</v>
      </c>
      <c r="G7" s="1">
        <v>8</v>
      </c>
      <c r="M7" s="1" t="str" cm="1">
        <f t="array" ref="M7:M10">_xlfn.UNIQUE(D2:D201)</f>
        <v>South</v>
      </c>
      <c r="N7" s="1">
        <f>COUNTIF(D:D,M7)</f>
        <v>45</v>
      </c>
    </row>
    <row r="8" spans="1:17" x14ac:dyDescent="0.3">
      <c r="A8" s="1">
        <v>1007</v>
      </c>
      <c r="B8" s="1" t="s">
        <v>16</v>
      </c>
      <c r="C8" s="1" t="s">
        <v>19</v>
      </c>
      <c r="D8" s="1" t="s">
        <v>15</v>
      </c>
      <c r="E8" s="1">
        <v>29660</v>
      </c>
      <c r="F8" s="1">
        <v>2245</v>
      </c>
      <c r="G8" s="1">
        <v>9</v>
      </c>
      <c r="M8" s="1" t="str">
        <v>West</v>
      </c>
      <c r="N8" s="1">
        <f t="shared" ref="N8:N10" si="0">COUNTIF(D:D,M8)</f>
        <v>50</v>
      </c>
    </row>
    <row r="9" spans="1:17" x14ac:dyDescent="0.3">
      <c r="A9" s="1">
        <v>1008</v>
      </c>
      <c r="B9" s="1" t="s">
        <v>20</v>
      </c>
      <c r="C9" s="1" t="s">
        <v>14</v>
      </c>
      <c r="D9" s="1" t="s">
        <v>21</v>
      </c>
      <c r="E9" s="1">
        <v>44193</v>
      </c>
      <c r="F9" s="1">
        <v>3612</v>
      </c>
      <c r="G9" s="1">
        <v>8</v>
      </c>
      <c r="M9" s="1" t="str">
        <v>East</v>
      </c>
      <c r="N9" s="1">
        <f t="shared" si="0"/>
        <v>58</v>
      </c>
    </row>
    <row r="10" spans="1:17" x14ac:dyDescent="0.3">
      <c r="A10" s="1">
        <v>1009</v>
      </c>
      <c r="B10" s="1" t="s">
        <v>7</v>
      </c>
      <c r="C10" s="1" t="s">
        <v>19</v>
      </c>
      <c r="D10" s="1" t="s">
        <v>15</v>
      </c>
      <c r="E10" s="1">
        <v>58552</v>
      </c>
      <c r="F10" s="1">
        <v>7262</v>
      </c>
      <c r="G10" s="1">
        <v>5</v>
      </c>
      <c r="M10" s="1" t="str">
        <v>North</v>
      </c>
      <c r="N10" s="1">
        <f t="shared" si="0"/>
        <v>47</v>
      </c>
    </row>
    <row r="11" spans="1:17" x14ac:dyDescent="0.3">
      <c r="A11" s="1">
        <v>1010</v>
      </c>
      <c r="B11" s="1" t="s">
        <v>22</v>
      </c>
      <c r="C11" s="1" t="s">
        <v>19</v>
      </c>
      <c r="D11" s="1" t="s">
        <v>15</v>
      </c>
      <c r="E11" s="1">
        <v>67997</v>
      </c>
      <c r="F11" s="1">
        <v>1164</v>
      </c>
      <c r="G11" s="1">
        <v>4</v>
      </c>
    </row>
    <row r="12" spans="1:17" ht="15" thickBot="1" x14ac:dyDescent="0.35">
      <c r="A12" s="1">
        <v>1011</v>
      </c>
      <c r="B12" s="1" t="s">
        <v>22</v>
      </c>
      <c r="C12" s="1" t="s">
        <v>8</v>
      </c>
      <c r="D12" s="1" t="s">
        <v>21</v>
      </c>
      <c r="E12" s="1">
        <v>26573</v>
      </c>
      <c r="F12" s="1">
        <v>5768</v>
      </c>
      <c r="G12" s="1">
        <v>4</v>
      </c>
    </row>
    <row r="13" spans="1:17" ht="15" thickBot="1" x14ac:dyDescent="0.35">
      <c r="A13" s="1">
        <v>1012</v>
      </c>
      <c r="B13" s="1" t="s">
        <v>23</v>
      </c>
      <c r="C13" s="1" t="s">
        <v>8</v>
      </c>
      <c r="D13" s="1" t="s">
        <v>15</v>
      </c>
      <c r="E13" s="1">
        <v>70449</v>
      </c>
      <c r="F13" s="1">
        <v>8386</v>
      </c>
      <c r="G13" s="1">
        <v>8</v>
      </c>
      <c r="L13" s="5" t="s">
        <v>38</v>
      </c>
      <c r="M13" s="6"/>
      <c r="N13" s="6"/>
      <c r="O13" s="6"/>
      <c r="P13" s="6"/>
      <c r="Q13" s="7"/>
    </row>
    <row r="14" spans="1:17" x14ac:dyDescent="0.3">
      <c r="A14" s="1">
        <v>1013</v>
      </c>
      <c r="B14" s="1" t="s">
        <v>24</v>
      </c>
      <c r="C14" s="1" t="s">
        <v>11</v>
      </c>
      <c r="D14" s="1" t="s">
        <v>15</v>
      </c>
      <c r="E14" s="1">
        <v>76305</v>
      </c>
      <c r="F14" s="1">
        <v>4910</v>
      </c>
      <c r="G14" s="1">
        <v>1</v>
      </c>
      <c r="N14" s="10" t="s">
        <v>2</v>
      </c>
      <c r="O14" s="10" t="s">
        <v>39</v>
      </c>
      <c r="P14" s="8"/>
    </row>
    <row r="15" spans="1:17" x14ac:dyDescent="0.3">
      <c r="A15" s="1">
        <v>1014</v>
      </c>
      <c r="B15" s="1" t="s">
        <v>25</v>
      </c>
      <c r="C15" s="1" t="s">
        <v>8</v>
      </c>
      <c r="D15" s="1" t="s">
        <v>12</v>
      </c>
      <c r="E15" s="1">
        <v>75837</v>
      </c>
      <c r="F15" s="1">
        <v>3707</v>
      </c>
      <c r="G15" s="1">
        <v>4</v>
      </c>
      <c r="N15" s="9" t="str" cm="1">
        <f t="array" ref="N15:N18">_xlfn.UNIQUE(C2:C201)</f>
        <v>IT</v>
      </c>
      <c r="O15" s="9">
        <f>COUNTIFS(C:C,N15,E:E,"&gt;50000")</f>
        <v>24</v>
      </c>
      <c r="P15" s="8"/>
    </row>
    <row r="16" spans="1:17" x14ac:dyDescent="0.3">
      <c r="A16" s="1">
        <v>1015</v>
      </c>
      <c r="B16" s="1" t="s">
        <v>26</v>
      </c>
      <c r="C16" s="1" t="s">
        <v>8</v>
      </c>
      <c r="D16" s="1" t="s">
        <v>15</v>
      </c>
      <c r="E16" s="1">
        <v>37399</v>
      </c>
      <c r="F16" s="1">
        <v>7673</v>
      </c>
      <c r="G16" s="1">
        <v>8</v>
      </c>
      <c r="N16" s="9" t="str">
        <v>Finance</v>
      </c>
      <c r="O16" s="9">
        <f>COUNTIFS(C:C,N16,E:E,"&gt;50000")</f>
        <v>21</v>
      </c>
      <c r="P16" s="8"/>
    </row>
    <row r="17" spans="1:17" x14ac:dyDescent="0.3">
      <c r="A17" s="1">
        <v>1016</v>
      </c>
      <c r="B17" s="1" t="s">
        <v>27</v>
      </c>
      <c r="C17" s="1" t="s">
        <v>19</v>
      </c>
      <c r="D17" s="1" t="s">
        <v>15</v>
      </c>
      <c r="E17" s="1">
        <v>36079</v>
      </c>
      <c r="F17" s="1">
        <v>1227</v>
      </c>
      <c r="G17" s="1">
        <v>9</v>
      </c>
      <c r="N17" s="9" t="str">
        <v>HR</v>
      </c>
      <c r="O17" s="9">
        <f t="shared" ref="O17:O18" si="1">COUNTIFS(C:C,N17,E:E,"&gt;50000")</f>
        <v>21</v>
      </c>
      <c r="P17" s="8"/>
    </row>
    <row r="18" spans="1:17" x14ac:dyDescent="0.3">
      <c r="A18" s="1">
        <v>1017</v>
      </c>
      <c r="B18" s="1" t="s">
        <v>22</v>
      </c>
      <c r="C18" s="1" t="s">
        <v>11</v>
      </c>
      <c r="D18" s="1" t="s">
        <v>21</v>
      </c>
      <c r="E18" s="1">
        <v>56682</v>
      </c>
      <c r="F18" s="1">
        <v>1665</v>
      </c>
      <c r="G18" s="1">
        <v>1</v>
      </c>
      <c r="N18" s="9" t="str">
        <v>Sales</v>
      </c>
      <c r="O18" s="9">
        <f t="shared" si="1"/>
        <v>27</v>
      </c>
      <c r="P18" s="8"/>
    </row>
    <row r="19" spans="1:17" ht="15" thickBot="1" x14ac:dyDescent="0.35">
      <c r="A19" s="1">
        <v>1018</v>
      </c>
      <c r="B19" s="1" t="s">
        <v>23</v>
      </c>
      <c r="C19" s="1" t="s">
        <v>11</v>
      </c>
      <c r="D19" s="1" t="s">
        <v>12</v>
      </c>
      <c r="E19" s="1">
        <v>74829</v>
      </c>
      <c r="F19" s="1">
        <v>9249</v>
      </c>
      <c r="G19" s="1">
        <v>9</v>
      </c>
    </row>
    <row r="20" spans="1:17" ht="15" thickBot="1" x14ac:dyDescent="0.35">
      <c r="A20" s="1">
        <v>1019</v>
      </c>
      <c r="B20" s="1" t="s">
        <v>10</v>
      </c>
      <c r="C20" s="1" t="s">
        <v>11</v>
      </c>
      <c r="D20" s="1" t="s">
        <v>9</v>
      </c>
      <c r="E20" s="1">
        <v>37095</v>
      </c>
      <c r="F20" s="1">
        <v>4694</v>
      </c>
      <c r="G20" s="1">
        <v>9</v>
      </c>
      <c r="L20" s="11" t="s">
        <v>40</v>
      </c>
      <c r="M20" s="12"/>
      <c r="N20" s="12"/>
      <c r="O20" s="14"/>
      <c r="P20" s="12"/>
      <c r="Q20" s="13"/>
    </row>
    <row r="21" spans="1:17" x14ac:dyDescent="0.3">
      <c r="A21" s="1">
        <v>1020</v>
      </c>
      <c r="B21" s="1" t="s">
        <v>13</v>
      </c>
      <c r="C21" s="1" t="s">
        <v>14</v>
      </c>
      <c r="D21" s="1" t="s">
        <v>15</v>
      </c>
      <c r="E21" s="1">
        <v>57259</v>
      </c>
      <c r="F21" s="1">
        <v>4414</v>
      </c>
      <c r="G21" s="1">
        <v>1</v>
      </c>
      <c r="N21" s="10" t="s">
        <v>2</v>
      </c>
      <c r="O21" s="15" t="s">
        <v>41</v>
      </c>
    </row>
    <row r="22" spans="1:17" x14ac:dyDescent="0.3">
      <c r="A22" s="1">
        <v>1021</v>
      </c>
      <c r="B22" s="1" t="s">
        <v>23</v>
      </c>
      <c r="C22" s="1" t="s">
        <v>19</v>
      </c>
      <c r="D22" s="1" t="s">
        <v>15</v>
      </c>
      <c r="E22" s="1">
        <v>72209</v>
      </c>
      <c r="F22" s="1">
        <v>4448</v>
      </c>
      <c r="G22" s="1">
        <v>9</v>
      </c>
      <c r="N22" s="9" t="str" cm="1">
        <f t="array" ref="N22:N26">_xlfn.UNIQUE(C9:C208)</f>
        <v>HR</v>
      </c>
      <c r="O22" s="16">
        <f>SUMIF(C:C,N22,E:E)</f>
        <v>2367756</v>
      </c>
    </row>
    <row r="23" spans="1:17" x14ac:dyDescent="0.3">
      <c r="A23" s="1">
        <v>1022</v>
      </c>
      <c r="B23" s="1" t="s">
        <v>16</v>
      </c>
      <c r="C23" s="1" t="s">
        <v>19</v>
      </c>
      <c r="D23" s="1" t="s">
        <v>15</v>
      </c>
      <c r="E23" s="1">
        <v>38806</v>
      </c>
      <c r="F23" s="1">
        <v>9151</v>
      </c>
      <c r="G23" s="1">
        <v>9</v>
      </c>
      <c r="N23" s="9" t="str">
        <v>Sales</v>
      </c>
      <c r="O23" s="16">
        <f t="shared" ref="O23:O26" si="2">SUMIF(C:C,N23,E:E)</f>
        <v>2764719</v>
      </c>
    </row>
    <row r="24" spans="1:17" x14ac:dyDescent="0.3">
      <c r="A24" s="1">
        <v>1023</v>
      </c>
      <c r="B24" s="1" t="s">
        <v>20</v>
      </c>
      <c r="C24" s="1" t="s">
        <v>8</v>
      </c>
      <c r="D24" s="1" t="s">
        <v>15</v>
      </c>
      <c r="E24" s="1">
        <v>54451</v>
      </c>
      <c r="F24" s="1">
        <v>8106</v>
      </c>
      <c r="G24" s="1">
        <v>4</v>
      </c>
      <c r="N24" s="9" t="str">
        <v>IT</v>
      </c>
      <c r="O24" s="16">
        <f t="shared" si="2"/>
        <v>2366398</v>
      </c>
    </row>
    <row r="25" spans="1:17" x14ac:dyDescent="0.3">
      <c r="A25" s="1">
        <v>1024</v>
      </c>
      <c r="B25" s="1" t="s">
        <v>7</v>
      </c>
      <c r="C25" s="1" t="s">
        <v>8</v>
      </c>
      <c r="D25" s="1" t="s">
        <v>9</v>
      </c>
      <c r="E25" s="1">
        <v>20303</v>
      </c>
      <c r="F25" s="1">
        <v>6264</v>
      </c>
      <c r="G25" s="1">
        <v>4</v>
      </c>
      <c r="N25" s="9" t="str">
        <v>Finance</v>
      </c>
      <c r="O25" s="16">
        <f t="shared" si="2"/>
        <v>2159047</v>
      </c>
    </row>
    <row r="26" spans="1:17" x14ac:dyDescent="0.3">
      <c r="A26" s="1">
        <v>1025</v>
      </c>
      <c r="B26" s="1" t="s">
        <v>27</v>
      </c>
      <c r="C26" s="1" t="s">
        <v>19</v>
      </c>
      <c r="D26" s="1" t="s">
        <v>9</v>
      </c>
      <c r="E26" s="1">
        <v>79600</v>
      </c>
      <c r="F26" s="1">
        <v>4813</v>
      </c>
      <c r="G26" s="1">
        <v>7</v>
      </c>
      <c r="N26">
        <v>0</v>
      </c>
      <c r="O26" s="17"/>
    </row>
    <row r="27" spans="1:17" ht="15" thickBot="1" x14ac:dyDescent="0.35">
      <c r="A27" s="1">
        <v>1026</v>
      </c>
      <c r="B27" s="1" t="s">
        <v>20</v>
      </c>
      <c r="C27" s="1" t="s">
        <v>19</v>
      </c>
      <c r="D27" s="1" t="s">
        <v>12</v>
      </c>
      <c r="E27" s="1">
        <v>75805</v>
      </c>
      <c r="F27" s="1">
        <v>6871</v>
      </c>
      <c r="G27" s="1">
        <v>8</v>
      </c>
    </row>
    <row r="28" spans="1:17" ht="15" thickBot="1" x14ac:dyDescent="0.35">
      <c r="A28" s="1">
        <v>1027</v>
      </c>
      <c r="B28" s="1" t="s">
        <v>18</v>
      </c>
      <c r="C28" s="1" t="s">
        <v>14</v>
      </c>
      <c r="D28" s="1" t="s">
        <v>9</v>
      </c>
      <c r="E28" s="1">
        <v>22801</v>
      </c>
      <c r="F28" s="1">
        <v>1462</v>
      </c>
      <c r="G28" s="1">
        <v>10</v>
      </c>
      <c r="M28" s="11" t="s">
        <v>42</v>
      </c>
      <c r="N28" s="12"/>
      <c r="O28" s="12"/>
      <c r="P28" s="13"/>
    </row>
    <row r="29" spans="1:17" ht="15" thickBot="1" x14ac:dyDescent="0.35">
      <c r="A29" s="1">
        <v>1028</v>
      </c>
      <c r="B29" s="1" t="s">
        <v>28</v>
      </c>
      <c r="C29" s="1" t="s">
        <v>19</v>
      </c>
      <c r="D29" s="1" t="s">
        <v>21</v>
      </c>
      <c r="E29" s="1">
        <v>54435</v>
      </c>
      <c r="F29" s="1">
        <v>5063</v>
      </c>
      <c r="G29" s="1">
        <v>6</v>
      </c>
      <c r="M29" s="18">
        <f>COUNTIFS(C:C,C5,D:D,D6)</f>
        <v>6</v>
      </c>
      <c r="N29" s="19"/>
      <c r="O29" s="19"/>
      <c r="P29" s="20"/>
    </row>
    <row r="30" spans="1:17" x14ac:dyDescent="0.3">
      <c r="A30" s="1">
        <v>1029</v>
      </c>
      <c r="B30" s="1" t="s">
        <v>29</v>
      </c>
      <c r="C30" s="1" t="s">
        <v>11</v>
      </c>
      <c r="D30" s="1" t="s">
        <v>21</v>
      </c>
      <c r="E30" s="1">
        <v>77655</v>
      </c>
      <c r="F30" s="1">
        <v>3552</v>
      </c>
      <c r="G30" s="1">
        <v>7</v>
      </c>
    </row>
    <row r="31" spans="1:17" ht="15" thickBot="1" x14ac:dyDescent="0.35">
      <c r="A31" s="1">
        <v>1030</v>
      </c>
      <c r="B31" s="1" t="s">
        <v>26</v>
      </c>
      <c r="C31" s="1" t="s">
        <v>19</v>
      </c>
      <c r="D31" s="1" t="s">
        <v>21</v>
      </c>
      <c r="E31" s="1">
        <v>61880</v>
      </c>
      <c r="F31" s="1">
        <v>1131</v>
      </c>
      <c r="G31" s="1">
        <v>8</v>
      </c>
    </row>
    <row r="32" spans="1:17" ht="15" thickBot="1" x14ac:dyDescent="0.35">
      <c r="A32" s="1">
        <v>1031</v>
      </c>
      <c r="B32" s="1" t="s">
        <v>28</v>
      </c>
      <c r="C32" s="1" t="s">
        <v>19</v>
      </c>
      <c r="D32" s="1" t="s">
        <v>21</v>
      </c>
      <c r="E32" s="1">
        <v>61681</v>
      </c>
      <c r="F32" s="1">
        <v>2759</v>
      </c>
      <c r="G32" s="1">
        <v>4</v>
      </c>
      <c r="M32" s="11" t="s">
        <v>43</v>
      </c>
      <c r="N32" s="12"/>
      <c r="O32" s="12"/>
      <c r="P32" s="13"/>
    </row>
    <row r="33" spans="1:16" ht="15" thickBot="1" x14ac:dyDescent="0.35">
      <c r="A33" s="1">
        <v>1032</v>
      </c>
      <c r="B33" s="1" t="s">
        <v>27</v>
      </c>
      <c r="C33" s="1" t="s">
        <v>19</v>
      </c>
      <c r="D33" s="1" t="s">
        <v>9</v>
      </c>
      <c r="E33" s="1">
        <v>65308</v>
      </c>
      <c r="F33" s="1">
        <v>4849</v>
      </c>
      <c r="G33" s="1">
        <v>10</v>
      </c>
      <c r="M33" s="21">
        <f>SUMIFS(E:E,D:D,D10,E:E,"&gt;50000")</f>
        <v>2029503</v>
      </c>
      <c r="N33" s="22"/>
      <c r="O33" s="22"/>
      <c r="P33" s="23"/>
    </row>
    <row r="34" spans="1:16" x14ac:dyDescent="0.3">
      <c r="A34" s="1">
        <v>1033</v>
      </c>
      <c r="B34" s="1" t="s">
        <v>23</v>
      </c>
      <c r="C34" s="1" t="s">
        <v>19</v>
      </c>
      <c r="D34" s="1" t="s">
        <v>21</v>
      </c>
      <c r="E34" s="1">
        <v>73630</v>
      </c>
      <c r="F34" s="1">
        <v>2677</v>
      </c>
      <c r="G34" s="1">
        <v>7</v>
      </c>
    </row>
    <row r="35" spans="1:16" x14ac:dyDescent="0.3">
      <c r="A35" s="1">
        <v>1034</v>
      </c>
      <c r="B35" s="1" t="s">
        <v>27</v>
      </c>
      <c r="C35" s="1" t="s">
        <v>14</v>
      </c>
      <c r="D35" s="1" t="s">
        <v>15</v>
      </c>
      <c r="E35" s="1">
        <v>72125</v>
      </c>
      <c r="F35" s="1">
        <v>5374</v>
      </c>
      <c r="G35" s="1">
        <v>10</v>
      </c>
    </row>
    <row r="36" spans="1:16" x14ac:dyDescent="0.3">
      <c r="A36" s="1">
        <v>1035</v>
      </c>
      <c r="B36" s="1" t="s">
        <v>16</v>
      </c>
      <c r="C36" s="1" t="s">
        <v>19</v>
      </c>
      <c r="D36" s="1" t="s">
        <v>9</v>
      </c>
      <c r="E36" s="1">
        <v>60544</v>
      </c>
      <c r="F36" s="1">
        <v>7787</v>
      </c>
      <c r="G36" s="1">
        <v>8</v>
      </c>
    </row>
    <row r="37" spans="1:16" x14ac:dyDescent="0.3">
      <c r="A37" s="1">
        <v>1036</v>
      </c>
      <c r="B37" s="1" t="s">
        <v>23</v>
      </c>
      <c r="C37" s="1" t="s">
        <v>19</v>
      </c>
      <c r="D37" s="1" t="s">
        <v>15</v>
      </c>
      <c r="E37" s="1">
        <v>59688</v>
      </c>
      <c r="F37" s="1">
        <v>3028</v>
      </c>
      <c r="G37" s="1">
        <v>10</v>
      </c>
    </row>
    <row r="38" spans="1:16" x14ac:dyDescent="0.3">
      <c r="A38" s="1">
        <v>1037</v>
      </c>
      <c r="B38" s="1" t="s">
        <v>20</v>
      </c>
      <c r="C38" s="1" t="s">
        <v>8</v>
      </c>
      <c r="D38" s="1" t="s">
        <v>9</v>
      </c>
      <c r="E38" s="1">
        <v>66548</v>
      </c>
      <c r="F38" s="1">
        <v>9254</v>
      </c>
      <c r="G38" s="1">
        <v>6</v>
      </c>
    </row>
    <row r="39" spans="1:16" x14ac:dyDescent="0.3">
      <c r="A39" s="1">
        <v>1038</v>
      </c>
      <c r="B39" s="1" t="s">
        <v>25</v>
      </c>
      <c r="C39" s="1" t="s">
        <v>11</v>
      </c>
      <c r="D39" s="1" t="s">
        <v>21</v>
      </c>
      <c r="E39" s="1">
        <v>63661</v>
      </c>
      <c r="F39" s="1">
        <v>4084</v>
      </c>
      <c r="G39" s="1">
        <v>7</v>
      </c>
    </row>
    <row r="40" spans="1:16" x14ac:dyDescent="0.3">
      <c r="A40" s="1">
        <v>1039</v>
      </c>
      <c r="B40" s="1" t="s">
        <v>10</v>
      </c>
      <c r="C40" s="1" t="s">
        <v>14</v>
      </c>
      <c r="D40" s="1" t="s">
        <v>12</v>
      </c>
      <c r="E40" s="1">
        <v>22824</v>
      </c>
      <c r="F40" s="1">
        <v>1476</v>
      </c>
      <c r="G40" s="1">
        <v>1</v>
      </c>
    </row>
    <row r="41" spans="1:16" x14ac:dyDescent="0.3">
      <c r="A41" s="1">
        <v>1040</v>
      </c>
      <c r="B41" s="1" t="s">
        <v>29</v>
      </c>
      <c r="C41" s="1" t="s">
        <v>14</v>
      </c>
      <c r="D41" s="1" t="s">
        <v>15</v>
      </c>
      <c r="E41" s="1">
        <v>33132</v>
      </c>
      <c r="F41" s="1">
        <v>8684</v>
      </c>
      <c r="G41" s="1">
        <v>9</v>
      </c>
    </row>
    <row r="42" spans="1:16" x14ac:dyDescent="0.3">
      <c r="A42" s="1">
        <v>1041</v>
      </c>
      <c r="B42" s="1" t="s">
        <v>10</v>
      </c>
      <c r="C42" s="1" t="s">
        <v>8</v>
      </c>
      <c r="D42" s="1" t="s">
        <v>15</v>
      </c>
      <c r="E42" s="1">
        <v>26847</v>
      </c>
      <c r="F42" s="1">
        <v>8491</v>
      </c>
      <c r="G42" s="1">
        <v>2</v>
      </c>
    </row>
    <row r="43" spans="1:16" x14ac:dyDescent="0.3">
      <c r="A43" s="1">
        <v>1042</v>
      </c>
      <c r="B43" s="1" t="s">
        <v>24</v>
      </c>
      <c r="C43" s="1" t="s">
        <v>8</v>
      </c>
      <c r="D43" s="1" t="s">
        <v>9</v>
      </c>
      <c r="E43" s="1">
        <v>28228</v>
      </c>
      <c r="F43" s="1">
        <v>2823</v>
      </c>
      <c r="G43" s="1">
        <v>2</v>
      </c>
    </row>
    <row r="44" spans="1:16" x14ac:dyDescent="0.3">
      <c r="A44" s="1">
        <v>1043</v>
      </c>
      <c r="B44" s="1" t="s">
        <v>22</v>
      </c>
      <c r="C44" s="1" t="s">
        <v>8</v>
      </c>
      <c r="D44" s="1" t="s">
        <v>21</v>
      </c>
      <c r="E44" s="1">
        <v>58429</v>
      </c>
      <c r="F44" s="1">
        <v>5256</v>
      </c>
      <c r="G44" s="1">
        <v>5</v>
      </c>
    </row>
    <row r="45" spans="1:16" x14ac:dyDescent="0.3">
      <c r="A45" s="1">
        <v>1044</v>
      </c>
      <c r="B45" s="1" t="s">
        <v>13</v>
      </c>
      <c r="C45" s="1" t="s">
        <v>19</v>
      </c>
      <c r="D45" s="1" t="s">
        <v>12</v>
      </c>
      <c r="E45" s="1">
        <v>51774</v>
      </c>
      <c r="F45" s="1">
        <v>2774</v>
      </c>
      <c r="G45" s="1">
        <v>8</v>
      </c>
    </row>
    <row r="46" spans="1:16" x14ac:dyDescent="0.3">
      <c r="A46" s="1">
        <v>1045</v>
      </c>
      <c r="B46" s="1" t="s">
        <v>27</v>
      </c>
      <c r="C46" s="1" t="s">
        <v>19</v>
      </c>
      <c r="D46" s="1" t="s">
        <v>15</v>
      </c>
      <c r="E46" s="1">
        <v>52101</v>
      </c>
      <c r="F46" s="1">
        <v>4256</v>
      </c>
      <c r="G46" s="1">
        <v>9</v>
      </c>
    </row>
    <row r="47" spans="1:16" x14ac:dyDescent="0.3">
      <c r="A47" s="1">
        <v>1046</v>
      </c>
      <c r="B47" s="1" t="s">
        <v>18</v>
      </c>
      <c r="C47" s="1" t="s">
        <v>8</v>
      </c>
      <c r="D47" s="1" t="s">
        <v>12</v>
      </c>
      <c r="E47" s="1">
        <v>51907</v>
      </c>
      <c r="F47" s="1">
        <v>9757</v>
      </c>
      <c r="G47" s="1">
        <v>8</v>
      </c>
    </row>
    <row r="48" spans="1:16" x14ac:dyDescent="0.3">
      <c r="A48" s="1">
        <v>1047</v>
      </c>
      <c r="B48" s="1" t="s">
        <v>30</v>
      </c>
      <c r="C48" s="1" t="s">
        <v>8</v>
      </c>
      <c r="D48" s="1" t="s">
        <v>15</v>
      </c>
      <c r="E48" s="1">
        <v>71323</v>
      </c>
      <c r="F48" s="1">
        <v>3679</v>
      </c>
      <c r="G48" s="1">
        <v>5</v>
      </c>
    </row>
    <row r="49" spans="1:7" x14ac:dyDescent="0.3">
      <c r="A49" s="1">
        <v>1048</v>
      </c>
      <c r="B49" s="1" t="s">
        <v>26</v>
      </c>
      <c r="C49" s="1" t="s">
        <v>19</v>
      </c>
      <c r="D49" s="1" t="s">
        <v>21</v>
      </c>
      <c r="E49" s="1">
        <v>27400</v>
      </c>
      <c r="F49" s="1">
        <v>8374</v>
      </c>
      <c r="G49" s="1">
        <v>1</v>
      </c>
    </row>
    <row r="50" spans="1:7" x14ac:dyDescent="0.3">
      <c r="A50" s="1">
        <v>1049</v>
      </c>
      <c r="B50" s="1" t="s">
        <v>22</v>
      </c>
      <c r="C50" s="1" t="s">
        <v>14</v>
      </c>
      <c r="D50" s="1" t="s">
        <v>15</v>
      </c>
      <c r="E50" s="1">
        <v>58265</v>
      </c>
      <c r="F50" s="1">
        <v>7588</v>
      </c>
      <c r="G50" s="1">
        <v>9</v>
      </c>
    </row>
    <row r="51" spans="1:7" x14ac:dyDescent="0.3">
      <c r="A51" s="1">
        <v>1050</v>
      </c>
      <c r="B51" s="1" t="s">
        <v>31</v>
      </c>
      <c r="C51" s="1" t="s">
        <v>8</v>
      </c>
      <c r="D51" s="1" t="s">
        <v>15</v>
      </c>
      <c r="E51" s="1">
        <v>33269</v>
      </c>
      <c r="F51" s="1">
        <v>5636</v>
      </c>
      <c r="G51" s="1">
        <v>3</v>
      </c>
    </row>
    <row r="52" spans="1:7" x14ac:dyDescent="0.3">
      <c r="A52" s="1">
        <v>1051</v>
      </c>
      <c r="B52" s="1" t="s">
        <v>22</v>
      </c>
      <c r="C52" s="1" t="s">
        <v>11</v>
      </c>
      <c r="D52" s="1" t="s">
        <v>21</v>
      </c>
      <c r="E52" s="1">
        <v>21766</v>
      </c>
      <c r="F52" s="1">
        <v>3144</v>
      </c>
      <c r="G52" s="1">
        <v>4</v>
      </c>
    </row>
    <row r="53" spans="1:7" x14ac:dyDescent="0.3">
      <c r="A53" s="1">
        <v>1052</v>
      </c>
      <c r="B53" s="1" t="s">
        <v>13</v>
      </c>
      <c r="C53" s="1" t="s">
        <v>14</v>
      </c>
      <c r="D53" s="1" t="s">
        <v>12</v>
      </c>
      <c r="E53" s="1">
        <v>74489</v>
      </c>
      <c r="F53" s="1">
        <v>4055</v>
      </c>
      <c r="G53" s="1">
        <v>1</v>
      </c>
    </row>
    <row r="54" spans="1:7" x14ac:dyDescent="0.3">
      <c r="A54" s="1">
        <v>1053</v>
      </c>
      <c r="B54" s="1" t="s">
        <v>30</v>
      </c>
      <c r="C54" s="1" t="s">
        <v>19</v>
      </c>
      <c r="D54" s="1" t="s">
        <v>21</v>
      </c>
      <c r="E54" s="1">
        <v>27248</v>
      </c>
      <c r="F54" s="1">
        <v>7369</v>
      </c>
      <c r="G54" s="1">
        <v>5</v>
      </c>
    </row>
    <row r="55" spans="1:7" x14ac:dyDescent="0.3">
      <c r="A55" s="1">
        <v>1054</v>
      </c>
      <c r="B55" s="1" t="s">
        <v>32</v>
      </c>
      <c r="C55" s="1" t="s">
        <v>8</v>
      </c>
      <c r="D55" s="1" t="s">
        <v>15</v>
      </c>
      <c r="E55" s="1">
        <v>70703</v>
      </c>
      <c r="F55" s="1">
        <v>5796</v>
      </c>
      <c r="G55" s="1">
        <v>8</v>
      </c>
    </row>
    <row r="56" spans="1:7" x14ac:dyDescent="0.3">
      <c r="A56" s="1">
        <v>1055</v>
      </c>
      <c r="B56" s="1" t="s">
        <v>28</v>
      </c>
      <c r="C56" s="1" t="s">
        <v>11</v>
      </c>
      <c r="D56" s="1" t="s">
        <v>9</v>
      </c>
      <c r="E56" s="1">
        <v>53725</v>
      </c>
      <c r="F56" s="1">
        <v>3478</v>
      </c>
      <c r="G56" s="1">
        <v>1</v>
      </c>
    </row>
    <row r="57" spans="1:7" x14ac:dyDescent="0.3">
      <c r="A57" s="1">
        <v>1056</v>
      </c>
      <c r="B57" s="1" t="s">
        <v>18</v>
      </c>
      <c r="C57" s="1" t="s">
        <v>19</v>
      </c>
      <c r="D57" s="1" t="s">
        <v>15</v>
      </c>
      <c r="E57" s="1">
        <v>31273</v>
      </c>
      <c r="F57" s="1">
        <v>7614</v>
      </c>
      <c r="G57" s="1">
        <v>5</v>
      </c>
    </row>
    <row r="58" spans="1:7" x14ac:dyDescent="0.3">
      <c r="A58" s="1">
        <v>1057</v>
      </c>
      <c r="B58" s="1" t="s">
        <v>7</v>
      </c>
      <c r="C58" s="1" t="s">
        <v>19</v>
      </c>
      <c r="D58" s="1" t="s">
        <v>9</v>
      </c>
      <c r="E58" s="1">
        <v>38884</v>
      </c>
      <c r="F58" s="1">
        <v>8365</v>
      </c>
      <c r="G58" s="1">
        <v>6</v>
      </c>
    </row>
    <row r="59" spans="1:7" x14ac:dyDescent="0.3">
      <c r="A59" s="1">
        <v>1058</v>
      </c>
      <c r="B59" s="1" t="s">
        <v>26</v>
      </c>
      <c r="C59" s="1" t="s">
        <v>8</v>
      </c>
      <c r="D59" s="1" t="s">
        <v>21</v>
      </c>
      <c r="E59" s="1">
        <v>39456</v>
      </c>
      <c r="F59" s="1">
        <v>2415</v>
      </c>
      <c r="G59" s="1">
        <v>7</v>
      </c>
    </row>
    <row r="60" spans="1:7" x14ac:dyDescent="0.3">
      <c r="A60" s="1">
        <v>1059</v>
      </c>
      <c r="B60" s="1" t="s">
        <v>20</v>
      </c>
      <c r="C60" s="1" t="s">
        <v>19</v>
      </c>
      <c r="D60" s="1" t="s">
        <v>21</v>
      </c>
      <c r="E60" s="1">
        <v>75599</v>
      </c>
      <c r="F60" s="1">
        <v>3080</v>
      </c>
      <c r="G60" s="1">
        <v>6</v>
      </c>
    </row>
    <row r="61" spans="1:7" x14ac:dyDescent="0.3">
      <c r="A61" s="1">
        <v>1060</v>
      </c>
      <c r="B61" s="1" t="s">
        <v>27</v>
      </c>
      <c r="C61" s="1" t="s">
        <v>19</v>
      </c>
      <c r="D61" s="1" t="s">
        <v>21</v>
      </c>
      <c r="E61" s="1">
        <v>21371</v>
      </c>
      <c r="F61" s="1">
        <v>7106</v>
      </c>
      <c r="G61" s="1">
        <v>2</v>
      </c>
    </row>
    <row r="62" spans="1:7" x14ac:dyDescent="0.3">
      <c r="A62" s="1">
        <v>1061</v>
      </c>
      <c r="B62" s="1" t="s">
        <v>26</v>
      </c>
      <c r="C62" s="1" t="s">
        <v>8</v>
      </c>
      <c r="D62" s="1" t="s">
        <v>9</v>
      </c>
      <c r="E62" s="1">
        <v>30824</v>
      </c>
      <c r="F62" s="1">
        <v>2205</v>
      </c>
      <c r="G62" s="1">
        <v>10</v>
      </c>
    </row>
    <row r="63" spans="1:7" x14ac:dyDescent="0.3">
      <c r="A63" s="1">
        <v>1062</v>
      </c>
      <c r="B63" s="1" t="s">
        <v>7</v>
      </c>
      <c r="C63" s="1" t="s">
        <v>11</v>
      </c>
      <c r="D63" s="1" t="s">
        <v>9</v>
      </c>
      <c r="E63" s="1">
        <v>75049</v>
      </c>
      <c r="F63" s="1">
        <v>3176</v>
      </c>
      <c r="G63" s="1">
        <v>5</v>
      </c>
    </row>
    <row r="64" spans="1:7" x14ac:dyDescent="0.3">
      <c r="A64" s="1">
        <v>1063</v>
      </c>
      <c r="B64" s="1" t="s">
        <v>22</v>
      </c>
      <c r="C64" s="1" t="s">
        <v>14</v>
      </c>
      <c r="D64" s="1" t="s">
        <v>12</v>
      </c>
      <c r="E64" s="1">
        <v>72895</v>
      </c>
      <c r="F64" s="1">
        <v>1576</v>
      </c>
      <c r="G64" s="1">
        <v>7</v>
      </c>
    </row>
    <row r="65" spans="1:7" x14ac:dyDescent="0.3">
      <c r="A65" s="1">
        <v>1064</v>
      </c>
      <c r="B65" s="1" t="s">
        <v>20</v>
      </c>
      <c r="C65" s="1" t="s">
        <v>19</v>
      </c>
      <c r="D65" s="1" t="s">
        <v>21</v>
      </c>
      <c r="E65" s="1">
        <v>47550</v>
      </c>
      <c r="F65" s="1">
        <v>8666</v>
      </c>
      <c r="G65" s="1">
        <v>7</v>
      </c>
    </row>
    <row r="66" spans="1:7" x14ac:dyDescent="0.3">
      <c r="A66" s="1">
        <v>1065</v>
      </c>
      <c r="B66" s="1" t="s">
        <v>22</v>
      </c>
      <c r="C66" s="1" t="s">
        <v>11</v>
      </c>
      <c r="D66" s="1" t="s">
        <v>15</v>
      </c>
      <c r="E66" s="1">
        <v>55068</v>
      </c>
      <c r="F66" s="1">
        <v>3185</v>
      </c>
      <c r="G66" s="1">
        <v>7</v>
      </c>
    </row>
    <row r="67" spans="1:7" x14ac:dyDescent="0.3">
      <c r="A67" s="1">
        <v>1066</v>
      </c>
      <c r="B67" s="1" t="s">
        <v>33</v>
      </c>
      <c r="C67" s="1" t="s">
        <v>8</v>
      </c>
      <c r="D67" s="1" t="s">
        <v>15</v>
      </c>
      <c r="E67" s="1">
        <v>40936</v>
      </c>
      <c r="F67" s="1">
        <v>4211</v>
      </c>
      <c r="G67" s="1">
        <v>3</v>
      </c>
    </row>
    <row r="68" spans="1:7" x14ac:dyDescent="0.3">
      <c r="A68" s="1">
        <v>1067</v>
      </c>
      <c r="B68" s="1" t="s">
        <v>24</v>
      </c>
      <c r="C68" s="1" t="s">
        <v>19</v>
      </c>
      <c r="D68" s="1" t="s">
        <v>15</v>
      </c>
      <c r="E68" s="1">
        <v>61479</v>
      </c>
      <c r="F68" s="1">
        <v>5657</v>
      </c>
      <c r="G68" s="1">
        <v>10</v>
      </c>
    </row>
    <row r="69" spans="1:7" x14ac:dyDescent="0.3">
      <c r="A69" s="1">
        <v>1068</v>
      </c>
      <c r="B69" s="1" t="s">
        <v>22</v>
      </c>
      <c r="C69" s="1" t="s">
        <v>11</v>
      </c>
      <c r="D69" s="1" t="s">
        <v>12</v>
      </c>
      <c r="E69" s="1">
        <v>37975</v>
      </c>
      <c r="F69" s="1">
        <v>9510</v>
      </c>
      <c r="G69" s="1">
        <v>6</v>
      </c>
    </row>
    <row r="70" spans="1:7" x14ac:dyDescent="0.3">
      <c r="A70" s="1">
        <v>1069</v>
      </c>
      <c r="B70" s="1" t="s">
        <v>34</v>
      </c>
      <c r="C70" s="1" t="s">
        <v>8</v>
      </c>
      <c r="D70" s="1" t="s">
        <v>12</v>
      </c>
      <c r="E70" s="1">
        <v>25240</v>
      </c>
      <c r="F70" s="1">
        <v>4594</v>
      </c>
      <c r="G70" s="1">
        <v>8</v>
      </c>
    </row>
    <row r="71" spans="1:7" x14ac:dyDescent="0.3">
      <c r="A71" s="1">
        <v>1070</v>
      </c>
      <c r="B71" s="1" t="s">
        <v>27</v>
      </c>
      <c r="C71" s="1" t="s">
        <v>14</v>
      </c>
      <c r="D71" s="1" t="s">
        <v>21</v>
      </c>
      <c r="E71" s="1">
        <v>23101</v>
      </c>
      <c r="F71" s="1">
        <v>1108</v>
      </c>
      <c r="G71" s="1">
        <v>1</v>
      </c>
    </row>
    <row r="72" spans="1:7" x14ac:dyDescent="0.3">
      <c r="A72" s="1">
        <v>1071</v>
      </c>
      <c r="B72" s="1" t="s">
        <v>33</v>
      </c>
      <c r="C72" s="1" t="s">
        <v>11</v>
      </c>
      <c r="D72" s="1" t="s">
        <v>15</v>
      </c>
      <c r="E72" s="1">
        <v>28670</v>
      </c>
      <c r="F72" s="1">
        <v>5096</v>
      </c>
      <c r="G72" s="1">
        <v>6</v>
      </c>
    </row>
    <row r="73" spans="1:7" x14ac:dyDescent="0.3">
      <c r="A73" s="1">
        <v>1072</v>
      </c>
      <c r="B73" s="1" t="s">
        <v>7</v>
      </c>
      <c r="C73" s="1" t="s">
        <v>8</v>
      </c>
      <c r="D73" s="1" t="s">
        <v>12</v>
      </c>
      <c r="E73" s="1">
        <v>68210</v>
      </c>
      <c r="F73" s="1">
        <v>7404</v>
      </c>
      <c r="G73" s="1">
        <v>7</v>
      </c>
    </row>
    <row r="74" spans="1:7" x14ac:dyDescent="0.3">
      <c r="A74" s="1">
        <v>1073</v>
      </c>
      <c r="B74" s="1" t="s">
        <v>32</v>
      </c>
      <c r="C74" s="1" t="s">
        <v>14</v>
      </c>
      <c r="D74" s="1" t="s">
        <v>15</v>
      </c>
      <c r="E74" s="1">
        <v>41885</v>
      </c>
      <c r="F74" s="1">
        <v>5581</v>
      </c>
      <c r="G74" s="1">
        <v>9</v>
      </c>
    </row>
    <row r="75" spans="1:7" x14ac:dyDescent="0.3">
      <c r="A75" s="1">
        <v>1074</v>
      </c>
      <c r="B75" s="1" t="s">
        <v>33</v>
      </c>
      <c r="C75" s="1" t="s">
        <v>14</v>
      </c>
      <c r="D75" s="1" t="s">
        <v>15</v>
      </c>
      <c r="E75" s="1">
        <v>46855</v>
      </c>
      <c r="F75" s="1">
        <v>9162</v>
      </c>
      <c r="G75" s="1">
        <v>5</v>
      </c>
    </row>
    <row r="76" spans="1:7" x14ac:dyDescent="0.3">
      <c r="A76" s="1">
        <v>1075</v>
      </c>
      <c r="B76" s="1" t="s">
        <v>23</v>
      </c>
      <c r="C76" s="1" t="s">
        <v>14</v>
      </c>
      <c r="D76" s="1" t="s">
        <v>12</v>
      </c>
      <c r="E76" s="1">
        <v>67656</v>
      </c>
      <c r="F76" s="1">
        <v>1218</v>
      </c>
      <c r="G76" s="1">
        <v>10</v>
      </c>
    </row>
    <row r="77" spans="1:7" x14ac:dyDescent="0.3">
      <c r="A77" s="1">
        <v>1076</v>
      </c>
      <c r="B77" s="1" t="s">
        <v>13</v>
      </c>
      <c r="C77" s="1" t="s">
        <v>11</v>
      </c>
      <c r="D77" s="1" t="s">
        <v>12</v>
      </c>
      <c r="E77" s="1">
        <v>69576</v>
      </c>
      <c r="F77" s="1">
        <v>7262</v>
      </c>
      <c r="G77" s="1">
        <v>5</v>
      </c>
    </row>
    <row r="78" spans="1:7" x14ac:dyDescent="0.3">
      <c r="A78" s="1">
        <v>1077</v>
      </c>
      <c r="B78" s="1" t="s">
        <v>18</v>
      </c>
      <c r="C78" s="1" t="s">
        <v>8</v>
      </c>
      <c r="D78" s="1" t="s">
        <v>12</v>
      </c>
      <c r="E78" s="1">
        <v>71754</v>
      </c>
      <c r="F78" s="1">
        <v>2979</v>
      </c>
      <c r="G78" s="1">
        <v>1</v>
      </c>
    </row>
    <row r="79" spans="1:7" x14ac:dyDescent="0.3">
      <c r="A79" s="1">
        <v>1078</v>
      </c>
      <c r="B79" s="1" t="s">
        <v>31</v>
      </c>
      <c r="C79" s="1" t="s">
        <v>11</v>
      </c>
      <c r="D79" s="1" t="s">
        <v>15</v>
      </c>
      <c r="E79" s="1">
        <v>73784</v>
      </c>
      <c r="F79" s="1">
        <v>7859</v>
      </c>
      <c r="G79" s="1">
        <v>10</v>
      </c>
    </row>
    <row r="80" spans="1:7" x14ac:dyDescent="0.3">
      <c r="A80" s="1">
        <v>1079</v>
      </c>
      <c r="B80" s="1" t="s">
        <v>34</v>
      </c>
      <c r="C80" s="1" t="s">
        <v>19</v>
      </c>
      <c r="D80" s="1" t="s">
        <v>21</v>
      </c>
      <c r="E80" s="1">
        <v>26703</v>
      </c>
      <c r="F80" s="1">
        <v>7424</v>
      </c>
      <c r="G80" s="1">
        <v>7</v>
      </c>
    </row>
    <row r="81" spans="1:7" x14ac:dyDescent="0.3">
      <c r="A81" s="1">
        <v>1080</v>
      </c>
      <c r="B81" s="1" t="s">
        <v>25</v>
      </c>
      <c r="C81" s="1" t="s">
        <v>11</v>
      </c>
      <c r="D81" s="1" t="s">
        <v>15</v>
      </c>
      <c r="E81" s="1">
        <v>29509</v>
      </c>
      <c r="F81" s="1">
        <v>7481</v>
      </c>
      <c r="G81" s="1">
        <v>5</v>
      </c>
    </row>
    <row r="82" spans="1:7" x14ac:dyDescent="0.3">
      <c r="A82" s="1">
        <v>1081</v>
      </c>
      <c r="B82" s="1" t="s">
        <v>31</v>
      </c>
      <c r="C82" s="1" t="s">
        <v>19</v>
      </c>
      <c r="D82" s="1" t="s">
        <v>15</v>
      </c>
      <c r="E82" s="1">
        <v>73007</v>
      </c>
      <c r="F82" s="1">
        <v>6784</v>
      </c>
      <c r="G82" s="1">
        <v>3</v>
      </c>
    </row>
    <row r="83" spans="1:7" x14ac:dyDescent="0.3">
      <c r="A83" s="1">
        <v>1082</v>
      </c>
      <c r="B83" s="1" t="s">
        <v>18</v>
      </c>
      <c r="C83" s="1" t="s">
        <v>14</v>
      </c>
      <c r="D83" s="1" t="s">
        <v>12</v>
      </c>
      <c r="E83" s="1">
        <v>57292</v>
      </c>
      <c r="F83" s="1">
        <v>3999</v>
      </c>
      <c r="G83" s="1">
        <v>2</v>
      </c>
    </row>
    <row r="84" spans="1:7" x14ac:dyDescent="0.3">
      <c r="A84" s="1">
        <v>1083</v>
      </c>
      <c r="B84" s="1" t="s">
        <v>30</v>
      </c>
      <c r="C84" s="1" t="s">
        <v>19</v>
      </c>
      <c r="D84" s="1" t="s">
        <v>21</v>
      </c>
      <c r="E84" s="1">
        <v>41275</v>
      </c>
      <c r="F84" s="1">
        <v>9081</v>
      </c>
      <c r="G84" s="1">
        <v>9</v>
      </c>
    </row>
    <row r="85" spans="1:7" x14ac:dyDescent="0.3">
      <c r="A85" s="1">
        <v>1084</v>
      </c>
      <c r="B85" s="1" t="s">
        <v>22</v>
      </c>
      <c r="C85" s="1" t="s">
        <v>19</v>
      </c>
      <c r="D85" s="1" t="s">
        <v>9</v>
      </c>
      <c r="E85" s="1">
        <v>74986</v>
      </c>
      <c r="F85" s="1">
        <v>3129</v>
      </c>
      <c r="G85" s="1">
        <v>1</v>
      </c>
    </row>
    <row r="86" spans="1:7" x14ac:dyDescent="0.3">
      <c r="A86" s="1">
        <v>1085</v>
      </c>
      <c r="B86" s="1" t="s">
        <v>18</v>
      </c>
      <c r="C86" s="1" t="s">
        <v>14</v>
      </c>
      <c r="D86" s="1" t="s">
        <v>15</v>
      </c>
      <c r="E86" s="1">
        <v>26328</v>
      </c>
      <c r="F86" s="1">
        <v>2713</v>
      </c>
      <c r="G86" s="1">
        <v>8</v>
      </c>
    </row>
    <row r="87" spans="1:7" x14ac:dyDescent="0.3">
      <c r="A87" s="1">
        <v>1086</v>
      </c>
      <c r="B87" s="1" t="s">
        <v>30</v>
      </c>
      <c r="C87" s="1" t="s">
        <v>19</v>
      </c>
      <c r="D87" s="1" t="s">
        <v>12</v>
      </c>
      <c r="E87" s="1">
        <v>64262</v>
      </c>
      <c r="F87" s="1">
        <v>5101</v>
      </c>
      <c r="G87" s="1">
        <v>8</v>
      </c>
    </row>
    <row r="88" spans="1:7" x14ac:dyDescent="0.3">
      <c r="A88" s="1">
        <v>1087</v>
      </c>
      <c r="B88" s="1" t="s">
        <v>30</v>
      </c>
      <c r="C88" s="1" t="s">
        <v>14</v>
      </c>
      <c r="D88" s="1" t="s">
        <v>9</v>
      </c>
      <c r="E88" s="1">
        <v>35514</v>
      </c>
      <c r="F88" s="1">
        <v>7798</v>
      </c>
      <c r="G88" s="1">
        <v>8</v>
      </c>
    </row>
    <row r="89" spans="1:7" x14ac:dyDescent="0.3">
      <c r="A89" s="1">
        <v>1088</v>
      </c>
      <c r="B89" s="1" t="s">
        <v>33</v>
      </c>
      <c r="C89" s="1" t="s">
        <v>11</v>
      </c>
      <c r="D89" s="1" t="s">
        <v>12</v>
      </c>
      <c r="E89" s="1">
        <v>33097</v>
      </c>
      <c r="F89" s="1">
        <v>3123</v>
      </c>
      <c r="G89" s="1">
        <v>7</v>
      </c>
    </row>
    <row r="90" spans="1:7" x14ac:dyDescent="0.3">
      <c r="A90" s="1">
        <v>1089</v>
      </c>
      <c r="B90" s="1" t="s">
        <v>27</v>
      </c>
      <c r="C90" s="1" t="s">
        <v>19</v>
      </c>
      <c r="D90" s="1" t="s">
        <v>15</v>
      </c>
      <c r="E90" s="1">
        <v>71262</v>
      </c>
      <c r="F90" s="1">
        <v>7439</v>
      </c>
      <c r="G90" s="1">
        <v>4</v>
      </c>
    </row>
    <row r="91" spans="1:7" x14ac:dyDescent="0.3">
      <c r="A91" s="1">
        <v>1090</v>
      </c>
      <c r="B91" s="1" t="s">
        <v>25</v>
      </c>
      <c r="C91" s="1" t="s">
        <v>14</v>
      </c>
      <c r="D91" s="1" t="s">
        <v>15</v>
      </c>
      <c r="E91" s="1">
        <v>40271</v>
      </c>
      <c r="F91" s="1">
        <v>1664</v>
      </c>
      <c r="G91" s="1">
        <v>7</v>
      </c>
    </row>
    <row r="92" spans="1:7" x14ac:dyDescent="0.3">
      <c r="A92" s="1">
        <v>1091</v>
      </c>
      <c r="B92" s="1" t="s">
        <v>31</v>
      </c>
      <c r="C92" s="1" t="s">
        <v>14</v>
      </c>
      <c r="D92" s="1" t="s">
        <v>12</v>
      </c>
      <c r="E92" s="1">
        <v>79161</v>
      </c>
      <c r="F92" s="1">
        <v>5186</v>
      </c>
      <c r="G92" s="1">
        <v>9</v>
      </c>
    </row>
    <row r="93" spans="1:7" x14ac:dyDescent="0.3">
      <c r="A93" s="1">
        <v>1092</v>
      </c>
      <c r="B93" s="1" t="s">
        <v>24</v>
      </c>
      <c r="C93" s="1" t="s">
        <v>11</v>
      </c>
      <c r="D93" s="1" t="s">
        <v>9</v>
      </c>
      <c r="E93" s="1">
        <v>29387</v>
      </c>
      <c r="F93" s="1">
        <v>7882</v>
      </c>
      <c r="G93" s="1">
        <v>1</v>
      </c>
    </row>
    <row r="94" spans="1:7" x14ac:dyDescent="0.3">
      <c r="A94" s="1">
        <v>1093</v>
      </c>
      <c r="B94" s="1" t="s">
        <v>29</v>
      </c>
      <c r="C94" s="1" t="s">
        <v>8</v>
      </c>
      <c r="D94" s="1" t="s">
        <v>9</v>
      </c>
      <c r="E94" s="1">
        <v>26353</v>
      </c>
      <c r="F94" s="1">
        <v>6268</v>
      </c>
      <c r="G94" s="1">
        <v>8</v>
      </c>
    </row>
    <row r="95" spans="1:7" x14ac:dyDescent="0.3">
      <c r="A95" s="1">
        <v>1094</v>
      </c>
      <c r="B95" s="1" t="s">
        <v>23</v>
      </c>
      <c r="C95" s="1" t="s">
        <v>14</v>
      </c>
      <c r="D95" s="1" t="s">
        <v>21</v>
      </c>
      <c r="E95" s="1">
        <v>25298</v>
      </c>
      <c r="F95" s="1">
        <v>5540</v>
      </c>
      <c r="G95" s="1">
        <v>7</v>
      </c>
    </row>
    <row r="96" spans="1:7" x14ac:dyDescent="0.3">
      <c r="A96" s="1">
        <v>1095</v>
      </c>
      <c r="B96" s="1" t="s">
        <v>32</v>
      </c>
      <c r="C96" s="1" t="s">
        <v>19</v>
      </c>
      <c r="D96" s="1" t="s">
        <v>21</v>
      </c>
      <c r="E96" s="1">
        <v>23230</v>
      </c>
      <c r="F96" s="1">
        <v>5570</v>
      </c>
      <c r="G96" s="1">
        <v>3</v>
      </c>
    </row>
    <row r="97" spans="1:7" x14ac:dyDescent="0.3">
      <c r="A97" s="1">
        <v>1096</v>
      </c>
      <c r="B97" s="1" t="s">
        <v>31</v>
      </c>
      <c r="C97" s="1" t="s">
        <v>14</v>
      </c>
      <c r="D97" s="1" t="s">
        <v>9</v>
      </c>
      <c r="E97" s="1">
        <v>29456</v>
      </c>
      <c r="F97" s="1">
        <v>4321</v>
      </c>
      <c r="G97" s="1">
        <v>9</v>
      </c>
    </row>
    <row r="98" spans="1:7" x14ac:dyDescent="0.3">
      <c r="A98" s="1">
        <v>1097</v>
      </c>
      <c r="B98" s="1" t="s">
        <v>22</v>
      </c>
      <c r="C98" s="1" t="s">
        <v>11</v>
      </c>
      <c r="D98" s="1" t="s">
        <v>9</v>
      </c>
      <c r="E98" s="1">
        <v>44707</v>
      </c>
      <c r="F98" s="1">
        <v>6435</v>
      </c>
      <c r="G98" s="1">
        <v>7</v>
      </c>
    </row>
    <row r="99" spans="1:7" x14ac:dyDescent="0.3">
      <c r="A99" s="1">
        <v>1098</v>
      </c>
      <c r="B99" s="1" t="s">
        <v>16</v>
      </c>
      <c r="C99" s="1" t="s">
        <v>11</v>
      </c>
      <c r="D99" s="1" t="s">
        <v>12</v>
      </c>
      <c r="E99" s="1">
        <v>70947</v>
      </c>
      <c r="F99" s="1">
        <v>9984</v>
      </c>
      <c r="G99" s="1">
        <v>4</v>
      </c>
    </row>
    <row r="100" spans="1:7" x14ac:dyDescent="0.3">
      <c r="A100" s="1">
        <v>1099</v>
      </c>
      <c r="B100" s="1" t="s">
        <v>18</v>
      </c>
      <c r="C100" s="1" t="s">
        <v>14</v>
      </c>
      <c r="D100" s="1" t="s">
        <v>21</v>
      </c>
      <c r="E100" s="1">
        <v>36465</v>
      </c>
      <c r="F100" s="1">
        <v>4576</v>
      </c>
      <c r="G100" s="1">
        <v>10</v>
      </c>
    </row>
    <row r="101" spans="1:7" x14ac:dyDescent="0.3">
      <c r="A101" s="1">
        <v>1100</v>
      </c>
      <c r="B101" s="1" t="s">
        <v>25</v>
      </c>
      <c r="C101" s="1" t="s">
        <v>14</v>
      </c>
      <c r="D101" s="1" t="s">
        <v>21</v>
      </c>
      <c r="E101" s="1">
        <v>60782</v>
      </c>
      <c r="F101" s="1">
        <v>5399</v>
      </c>
      <c r="G101" s="1">
        <v>1</v>
      </c>
    </row>
    <row r="102" spans="1:7" x14ac:dyDescent="0.3">
      <c r="A102" s="1">
        <v>1101</v>
      </c>
      <c r="B102" s="1" t="s">
        <v>18</v>
      </c>
      <c r="C102" s="1" t="s">
        <v>8</v>
      </c>
      <c r="D102" s="1" t="s">
        <v>9</v>
      </c>
      <c r="E102" s="1">
        <v>69179</v>
      </c>
      <c r="F102" s="1">
        <v>8309</v>
      </c>
      <c r="G102" s="1">
        <v>9</v>
      </c>
    </row>
    <row r="103" spans="1:7" x14ac:dyDescent="0.3">
      <c r="A103" s="1">
        <v>1102</v>
      </c>
      <c r="B103" s="1" t="s">
        <v>24</v>
      </c>
      <c r="C103" s="1" t="s">
        <v>11</v>
      </c>
      <c r="D103" s="1" t="s">
        <v>21</v>
      </c>
      <c r="E103" s="1">
        <v>28278</v>
      </c>
      <c r="F103" s="1">
        <v>7093</v>
      </c>
      <c r="G103" s="1">
        <v>3</v>
      </c>
    </row>
    <row r="104" spans="1:7" x14ac:dyDescent="0.3">
      <c r="A104" s="1">
        <v>1103</v>
      </c>
      <c r="B104" s="1" t="s">
        <v>17</v>
      </c>
      <c r="C104" s="1" t="s">
        <v>14</v>
      </c>
      <c r="D104" s="1" t="s">
        <v>15</v>
      </c>
      <c r="E104" s="1">
        <v>21588</v>
      </c>
      <c r="F104" s="1">
        <v>8420</v>
      </c>
      <c r="G104" s="1">
        <v>10</v>
      </c>
    </row>
    <row r="105" spans="1:7" x14ac:dyDescent="0.3">
      <c r="A105" s="1">
        <v>1104</v>
      </c>
      <c r="B105" s="1" t="s">
        <v>7</v>
      </c>
      <c r="C105" s="1" t="s">
        <v>14</v>
      </c>
      <c r="D105" s="1" t="s">
        <v>15</v>
      </c>
      <c r="E105" s="1">
        <v>58257</v>
      </c>
      <c r="F105" s="1">
        <v>2551</v>
      </c>
      <c r="G105" s="1">
        <v>7</v>
      </c>
    </row>
    <row r="106" spans="1:7" x14ac:dyDescent="0.3">
      <c r="A106" s="1">
        <v>1105</v>
      </c>
      <c r="B106" s="1" t="s">
        <v>20</v>
      </c>
      <c r="C106" s="1" t="s">
        <v>14</v>
      </c>
      <c r="D106" s="1" t="s">
        <v>12</v>
      </c>
      <c r="E106" s="1">
        <v>35113</v>
      </c>
      <c r="F106" s="1">
        <v>6766</v>
      </c>
      <c r="G106" s="1">
        <v>6</v>
      </c>
    </row>
    <row r="107" spans="1:7" x14ac:dyDescent="0.3">
      <c r="A107" s="1">
        <v>1106</v>
      </c>
      <c r="B107" s="1" t="s">
        <v>28</v>
      </c>
      <c r="C107" s="1" t="s">
        <v>11</v>
      </c>
      <c r="D107" s="1" t="s">
        <v>21</v>
      </c>
      <c r="E107" s="1">
        <v>39364</v>
      </c>
      <c r="F107" s="1">
        <v>5237</v>
      </c>
      <c r="G107" s="1">
        <v>7</v>
      </c>
    </row>
    <row r="108" spans="1:7" x14ac:dyDescent="0.3">
      <c r="A108" s="1">
        <v>1107</v>
      </c>
      <c r="B108" s="1" t="s">
        <v>24</v>
      </c>
      <c r="C108" s="1" t="s">
        <v>19</v>
      </c>
      <c r="D108" s="1" t="s">
        <v>21</v>
      </c>
      <c r="E108" s="1">
        <v>20025</v>
      </c>
      <c r="F108" s="1">
        <v>9889</v>
      </c>
      <c r="G108" s="1">
        <v>6</v>
      </c>
    </row>
    <row r="109" spans="1:7" x14ac:dyDescent="0.3">
      <c r="A109" s="1">
        <v>1108</v>
      </c>
      <c r="B109" s="1" t="s">
        <v>27</v>
      </c>
      <c r="C109" s="1" t="s">
        <v>19</v>
      </c>
      <c r="D109" s="1" t="s">
        <v>12</v>
      </c>
      <c r="E109" s="1">
        <v>32604</v>
      </c>
      <c r="F109" s="1">
        <v>9062</v>
      </c>
      <c r="G109" s="1">
        <v>1</v>
      </c>
    </row>
    <row r="110" spans="1:7" x14ac:dyDescent="0.3">
      <c r="A110" s="1">
        <v>1109</v>
      </c>
      <c r="B110" s="1" t="s">
        <v>31</v>
      </c>
      <c r="C110" s="1" t="s">
        <v>19</v>
      </c>
      <c r="D110" s="1" t="s">
        <v>21</v>
      </c>
      <c r="E110" s="1">
        <v>20876</v>
      </c>
      <c r="F110" s="1">
        <v>4076</v>
      </c>
      <c r="G110" s="1">
        <v>8</v>
      </c>
    </row>
    <row r="111" spans="1:7" x14ac:dyDescent="0.3">
      <c r="A111" s="1">
        <v>1110</v>
      </c>
      <c r="B111" s="1" t="s">
        <v>31</v>
      </c>
      <c r="C111" s="1" t="s">
        <v>14</v>
      </c>
      <c r="D111" s="1" t="s">
        <v>12</v>
      </c>
      <c r="E111" s="1">
        <v>56776</v>
      </c>
      <c r="F111" s="1">
        <v>1203</v>
      </c>
      <c r="G111" s="1">
        <v>10</v>
      </c>
    </row>
    <row r="112" spans="1:7" x14ac:dyDescent="0.3">
      <c r="A112" s="1">
        <v>1111</v>
      </c>
      <c r="B112" s="1" t="s">
        <v>10</v>
      </c>
      <c r="C112" s="1" t="s">
        <v>19</v>
      </c>
      <c r="D112" s="1" t="s">
        <v>12</v>
      </c>
      <c r="E112" s="1">
        <v>23817</v>
      </c>
      <c r="F112" s="1">
        <v>6841</v>
      </c>
      <c r="G112" s="1">
        <v>1</v>
      </c>
    </row>
    <row r="113" spans="1:7" x14ac:dyDescent="0.3">
      <c r="A113" s="1">
        <v>1112</v>
      </c>
      <c r="B113" s="1" t="s">
        <v>28</v>
      </c>
      <c r="C113" s="1" t="s">
        <v>14</v>
      </c>
      <c r="D113" s="1" t="s">
        <v>9</v>
      </c>
      <c r="E113" s="1">
        <v>30085</v>
      </c>
      <c r="F113" s="1">
        <v>1516</v>
      </c>
      <c r="G113" s="1">
        <v>10</v>
      </c>
    </row>
    <row r="114" spans="1:7" x14ac:dyDescent="0.3">
      <c r="A114" s="1">
        <v>1113</v>
      </c>
      <c r="B114" s="1" t="s">
        <v>34</v>
      </c>
      <c r="C114" s="1" t="s">
        <v>8</v>
      </c>
      <c r="D114" s="1" t="s">
        <v>12</v>
      </c>
      <c r="E114" s="1">
        <v>78637</v>
      </c>
      <c r="F114" s="1">
        <v>9118</v>
      </c>
      <c r="G114" s="1">
        <v>4</v>
      </c>
    </row>
    <row r="115" spans="1:7" x14ac:dyDescent="0.3">
      <c r="A115" s="1">
        <v>1114</v>
      </c>
      <c r="B115" s="1" t="s">
        <v>27</v>
      </c>
      <c r="C115" s="1" t="s">
        <v>14</v>
      </c>
      <c r="D115" s="1" t="s">
        <v>12</v>
      </c>
      <c r="E115" s="1">
        <v>78931</v>
      </c>
      <c r="F115" s="1">
        <v>1218</v>
      </c>
      <c r="G115" s="1">
        <v>3</v>
      </c>
    </row>
    <row r="116" spans="1:7" x14ac:dyDescent="0.3">
      <c r="A116" s="1">
        <v>1115</v>
      </c>
      <c r="B116" s="1" t="s">
        <v>10</v>
      </c>
      <c r="C116" s="1" t="s">
        <v>19</v>
      </c>
      <c r="D116" s="1" t="s">
        <v>15</v>
      </c>
      <c r="E116" s="1">
        <v>29392</v>
      </c>
      <c r="F116" s="1">
        <v>8527</v>
      </c>
      <c r="G116" s="1">
        <v>5</v>
      </c>
    </row>
    <row r="117" spans="1:7" x14ac:dyDescent="0.3">
      <c r="A117" s="1">
        <v>1116</v>
      </c>
      <c r="B117" s="1" t="s">
        <v>22</v>
      </c>
      <c r="C117" s="1" t="s">
        <v>14</v>
      </c>
      <c r="D117" s="1" t="s">
        <v>15</v>
      </c>
      <c r="E117" s="1">
        <v>28276</v>
      </c>
      <c r="F117" s="1">
        <v>5914</v>
      </c>
      <c r="G117" s="1">
        <v>4</v>
      </c>
    </row>
    <row r="118" spans="1:7" x14ac:dyDescent="0.3">
      <c r="A118" s="1">
        <v>1117</v>
      </c>
      <c r="B118" s="1" t="s">
        <v>26</v>
      </c>
      <c r="C118" s="1" t="s">
        <v>8</v>
      </c>
      <c r="D118" s="1" t="s">
        <v>9</v>
      </c>
      <c r="E118" s="1">
        <v>38807</v>
      </c>
      <c r="F118" s="1">
        <v>9823</v>
      </c>
      <c r="G118" s="1">
        <v>3</v>
      </c>
    </row>
    <row r="119" spans="1:7" x14ac:dyDescent="0.3">
      <c r="A119" s="1">
        <v>1118</v>
      </c>
      <c r="B119" s="1" t="s">
        <v>13</v>
      </c>
      <c r="C119" s="1" t="s">
        <v>19</v>
      </c>
      <c r="D119" s="1" t="s">
        <v>21</v>
      </c>
      <c r="E119" s="1">
        <v>33487</v>
      </c>
      <c r="F119" s="1">
        <v>4839</v>
      </c>
      <c r="G119" s="1">
        <v>2</v>
      </c>
    </row>
    <row r="120" spans="1:7" x14ac:dyDescent="0.3">
      <c r="A120" s="1">
        <v>1119</v>
      </c>
      <c r="B120" s="1" t="s">
        <v>29</v>
      </c>
      <c r="C120" s="1" t="s">
        <v>19</v>
      </c>
      <c r="D120" s="1" t="s">
        <v>9</v>
      </c>
      <c r="E120" s="1">
        <v>25317</v>
      </c>
      <c r="F120" s="1">
        <v>4802</v>
      </c>
      <c r="G120" s="1">
        <v>6</v>
      </c>
    </row>
    <row r="121" spans="1:7" x14ac:dyDescent="0.3">
      <c r="A121" s="1">
        <v>1120</v>
      </c>
      <c r="B121" s="1" t="s">
        <v>28</v>
      </c>
      <c r="C121" s="1" t="s">
        <v>8</v>
      </c>
      <c r="D121" s="1" t="s">
        <v>9</v>
      </c>
      <c r="E121" s="1">
        <v>28287</v>
      </c>
      <c r="F121" s="1">
        <v>8969</v>
      </c>
      <c r="G121" s="1">
        <v>7</v>
      </c>
    </row>
    <row r="122" spans="1:7" x14ac:dyDescent="0.3">
      <c r="A122" s="1">
        <v>1121</v>
      </c>
      <c r="B122" s="1" t="s">
        <v>29</v>
      </c>
      <c r="C122" s="1" t="s">
        <v>19</v>
      </c>
      <c r="D122" s="1" t="s">
        <v>21</v>
      </c>
      <c r="E122" s="1">
        <v>35399</v>
      </c>
      <c r="F122" s="1">
        <v>9317</v>
      </c>
      <c r="G122" s="1">
        <v>8</v>
      </c>
    </row>
    <row r="123" spans="1:7" x14ac:dyDescent="0.3">
      <c r="A123" s="1">
        <v>1122</v>
      </c>
      <c r="B123" s="1" t="s">
        <v>24</v>
      </c>
      <c r="C123" s="1" t="s">
        <v>14</v>
      </c>
      <c r="D123" s="1" t="s">
        <v>15</v>
      </c>
      <c r="E123" s="1">
        <v>46599</v>
      </c>
      <c r="F123" s="1">
        <v>4074</v>
      </c>
      <c r="G123" s="1">
        <v>10</v>
      </c>
    </row>
    <row r="124" spans="1:7" x14ac:dyDescent="0.3">
      <c r="A124" s="1">
        <v>1123</v>
      </c>
      <c r="B124" s="1" t="s">
        <v>20</v>
      </c>
      <c r="C124" s="1" t="s">
        <v>11</v>
      </c>
      <c r="D124" s="1" t="s">
        <v>12</v>
      </c>
      <c r="E124" s="1">
        <v>59734</v>
      </c>
      <c r="F124" s="1">
        <v>3246</v>
      </c>
      <c r="G124" s="1">
        <v>5</v>
      </c>
    </row>
    <row r="125" spans="1:7" x14ac:dyDescent="0.3">
      <c r="A125" s="1">
        <v>1124</v>
      </c>
      <c r="B125" s="1" t="s">
        <v>22</v>
      </c>
      <c r="C125" s="1" t="s">
        <v>8</v>
      </c>
      <c r="D125" s="1" t="s">
        <v>12</v>
      </c>
      <c r="E125" s="1">
        <v>25152</v>
      </c>
      <c r="F125" s="1">
        <v>5992</v>
      </c>
      <c r="G125" s="1">
        <v>1</v>
      </c>
    </row>
    <row r="126" spans="1:7" x14ac:dyDescent="0.3">
      <c r="A126" s="1">
        <v>1125</v>
      </c>
      <c r="B126" s="1" t="s">
        <v>32</v>
      </c>
      <c r="C126" s="1" t="s">
        <v>11</v>
      </c>
      <c r="D126" s="1" t="s">
        <v>21</v>
      </c>
      <c r="E126" s="1">
        <v>38456</v>
      </c>
      <c r="F126" s="1">
        <v>2384</v>
      </c>
      <c r="G126" s="1">
        <v>9</v>
      </c>
    </row>
    <row r="127" spans="1:7" x14ac:dyDescent="0.3">
      <c r="A127" s="1">
        <v>1126</v>
      </c>
      <c r="B127" s="1" t="s">
        <v>13</v>
      </c>
      <c r="C127" s="1" t="s">
        <v>11</v>
      </c>
      <c r="D127" s="1" t="s">
        <v>15</v>
      </c>
      <c r="E127" s="1">
        <v>71495</v>
      </c>
      <c r="F127" s="1">
        <v>5935</v>
      </c>
      <c r="G127" s="1">
        <v>5</v>
      </c>
    </row>
    <row r="128" spans="1:7" x14ac:dyDescent="0.3">
      <c r="A128" s="1">
        <v>1127</v>
      </c>
      <c r="B128" s="1" t="s">
        <v>20</v>
      </c>
      <c r="C128" s="1" t="s">
        <v>8</v>
      </c>
      <c r="D128" s="1" t="s">
        <v>9</v>
      </c>
      <c r="E128" s="1">
        <v>77769</v>
      </c>
      <c r="F128" s="1">
        <v>1746</v>
      </c>
      <c r="G128" s="1">
        <v>9</v>
      </c>
    </row>
    <row r="129" spans="1:7" x14ac:dyDescent="0.3">
      <c r="A129" s="1">
        <v>1128</v>
      </c>
      <c r="B129" s="1" t="s">
        <v>7</v>
      </c>
      <c r="C129" s="1" t="s">
        <v>8</v>
      </c>
      <c r="D129" s="1" t="s">
        <v>9</v>
      </c>
      <c r="E129" s="1">
        <v>31202</v>
      </c>
      <c r="F129" s="1">
        <v>6127</v>
      </c>
      <c r="G129" s="1">
        <v>4</v>
      </c>
    </row>
    <row r="130" spans="1:7" x14ac:dyDescent="0.3">
      <c r="A130" s="1">
        <v>1129</v>
      </c>
      <c r="B130" s="1" t="s">
        <v>30</v>
      </c>
      <c r="C130" s="1" t="s">
        <v>11</v>
      </c>
      <c r="D130" s="1" t="s">
        <v>12</v>
      </c>
      <c r="E130" s="1">
        <v>32732</v>
      </c>
      <c r="F130" s="1">
        <v>7132</v>
      </c>
      <c r="G130" s="1">
        <v>2</v>
      </c>
    </row>
    <row r="131" spans="1:7" x14ac:dyDescent="0.3">
      <c r="A131" s="1">
        <v>1130</v>
      </c>
      <c r="B131" s="1" t="s">
        <v>32</v>
      </c>
      <c r="C131" s="1" t="s">
        <v>11</v>
      </c>
      <c r="D131" s="1" t="s">
        <v>9</v>
      </c>
      <c r="E131" s="1">
        <v>62701</v>
      </c>
      <c r="F131" s="1">
        <v>9881</v>
      </c>
      <c r="G131" s="1">
        <v>6</v>
      </c>
    </row>
    <row r="132" spans="1:7" x14ac:dyDescent="0.3">
      <c r="A132" s="1">
        <v>1131</v>
      </c>
      <c r="B132" s="1" t="s">
        <v>24</v>
      </c>
      <c r="C132" s="1" t="s">
        <v>14</v>
      </c>
      <c r="D132" s="1" t="s">
        <v>9</v>
      </c>
      <c r="E132" s="1">
        <v>43824</v>
      </c>
      <c r="F132" s="1">
        <v>3196</v>
      </c>
      <c r="G132" s="1">
        <v>2</v>
      </c>
    </row>
    <row r="133" spans="1:7" x14ac:dyDescent="0.3">
      <c r="A133" s="1">
        <v>1132</v>
      </c>
      <c r="B133" s="1" t="s">
        <v>13</v>
      </c>
      <c r="C133" s="1" t="s">
        <v>8</v>
      </c>
      <c r="D133" s="1" t="s">
        <v>9</v>
      </c>
      <c r="E133" s="1">
        <v>70362</v>
      </c>
      <c r="F133" s="1">
        <v>5310</v>
      </c>
      <c r="G133" s="1">
        <v>6</v>
      </c>
    </row>
    <row r="134" spans="1:7" x14ac:dyDescent="0.3">
      <c r="A134" s="1">
        <v>1133</v>
      </c>
      <c r="B134" s="1" t="s">
        <v>18</v>
      </c>
      <c r="C134" s="1" t="s">
        <v>19</v>
      </c>
      <c r="D134" s="1" t="s">
        <v>9</v>
      </c>
      <c r="E134" s="1">
        <v>66281</v>
      </c>
      <c r="F134" s="1">
        <v>9057</v>
      </c>
      <c r="G134" s="1">
        <v>9</v>
      </c>
    </row>
    <row r="135" spans="1:7" x14ac:dyDescent="0.3">
      <c r="A135" s="1">
        <v>1134</v>
      </c>
      <c r="B135" s="1" t="s">
        <v>20</v>
      </c>
      <c r="C135" s="1" t="s">
        <v>11</v>
      </c>
      <c r="D135" s="1" t="s">
        <v>15</v>
      </c>
      <c r="E135" s="1">
        <v>62150</v>
      </c>
      <c r="F135" s="1">
        <v>5194</v>
      </c>
      <c r="G135" s="1">
        <v>5</v>
      </c>
    </row>
    <row r="136" spans="1:7" x14ac:dyDescent="0.3">
      <c r="A136" s="1">
        <v>1135</v>
      </c>
      <c r="B136" s="1" t="s">
        <v>29</v>
      </c>
      <c r="C136" s="1" t="s">
        <v>14</v>
      </c>
      <c r="D136" s="1" t="s">
        <v>15</v>
      </c>
      <c r="E136" s="1">
        <v>68466</v>
      </c>
      <c r="F136" s="1">
        <v>7926</v>
      </c>
      <c r="G136" s="1">
        <v>6</v>
      </c>
    </row>
    <row r="137" spans="1:7" x14ac:dyDescent="0.3">
      <c r="A137" s="1">
        <v>1136</v>
      </c>
      <c r="B137" s="1" t="s">
        <v>24</v>
      </c>
      <c r="C137" s="1" t="s">
        <v>11</v>
      </c>
      <c r="D137" s="1" t="s">
        <v>12</v>
      </c>
      <c r="E137" s="1">
        <v>35905</v>
      </c>
      <c r="F137" s="1">
        <v>8168</v>
      </c>
      <c r="G137" s="1">
        <v>5</v>
      </c>
    </row>
    <row r="138" spans="1:7" x14ac:dyDescent="0.3">
      <c r="A138" s="1">
        <v>1137</v>
      </c>
      <c r="B138" s="1" t="s">
        <v>26</v>
      </c>
      <c r="C138" s="1" t="s">
        <v>11</v>
      </c>
      <c r="D138" s="1" t="s">
        <v>15</v>
      </c>
      <c r="E138" s="1">
        <v>29337</v>
      </c>
      <c r="F138" s="1">
        <v>2840</v>
      </c>
      <c r="G138" s="1">
        <v>1</v>
      </c>
    </row>
    <row r="139" spans="1:7" x14ac:dyDescent="0.3">
      <c r="A139" s="1">
        <v>1138</v>
      </c>
      <c r="B139" s="1" t="s">
        <v>29</v>
      </c>
      <c r="C139" s="1" t="s">
        <v>8</v>
      </c>
      <c r="D139" s="1" t="s">
        <v>9</v>
      </c>
      <c r="E139" s="1">
        <v>62891</v>
      </c>
      <c r="F139" s="1">
        <v>7534</v>
      </c>
      <c r="G139" s="1">
        <v>7</v>
      </c>
    </row>
    <row r="140" spans="1:7" x14ac:dyDescent="0.3">
      <c r="A140" s="1">
        <v>1139</v>
      </c>
      <c r="B140" s="1" t="s">
        <v>7</v>
      </c>
      <c r="C140" s="1" t="s">
        <v>8</v>
      </c>
      <c r="D140" s="1" t="s">
        <v>12</v>
      </c>
      <c r="E140" s="1">
        <v>70278</v>
      </c>
      <c r="F140" s="1">
        <v>3722</v>
      </c>
      <c r="G140" s="1">
        <v>4</v>
      </c>
    </row>
    <row r="141" spans="1:7" x14ac:dyDescent="0.3">
      <c r="A141" s="1">
        <v>1140</v>
      </c>
      <c r="B141" s="1" t="s">
        <v>30</v>
      </c>
      <c r="C141" s="1" t="s">
        <v>14</v>
      </c>
      <c r="D141" s="1" t="s">
        <v>21</v>
      </c>
      <c r="E141" s="1">
        <v>42516</v>
      </c>
      <c r="F141" s="1">
        <v>4527</v>
      </c>
      <c r="G141" s="1">
        <v>2</v>
      </c>
    </row>
    <row r="142" spans="1:7" x14ac:dyDescent="0.3">
      <c r="A142" s="1">
        <v>1141</v>
      </c>
      <c r="B142" s="1" t="s">
        <v>33</v>
      </c>
      <c r="C142" s="1" t="s">
        <v>8</v>
      </c>
      <c r="D142" s="1" t="s">
        <v>21</v>
      </c>
      <c r="E142" s="1">
        <v>47585</v>
      </c>
      <c r="F142" s="1">
        <v>9569</v>
      </c>
      <c r="G142" s="1">
        <v>5</v>
      </c>
    </row>
    <row r="143" spans="1:7" x14ac:dyDescent="0.3">
      <c r="A143" s="1">
        <v>1142</v>
      </c>
      <c r="B143" s="1" t="s">
        <v>17</v>
      </c>
      <c r="C143" s="1" t="s">
        <v>11</v>
      </c>
      <c r="D143" s="1" t="s">
        <v>12</v>
      </c>
      <c r="E143" s="1">
        <v>39651</v>
      </c>
      <c r="F143" s="1">
        <v>1339</v>
      </c>
      <c r="G143" s="1">
        <v>6</v>
      </c>
    </row>
    <row r="144" spans="1:7" x14ac:dyDescent="0.3">
      <c r="A144" s="1">
        <v>1143</v>
      </c>
      <c r="B144" s="1" t="s">
        <v>23</v>
      </c>
      <c r="C144" s="1" t="s">
        <v>14</v>
      </c>
      <c r="D144" s="1" t="s">
        <v>12</v>
      </c>
      <c r="E144" s="1">
        <v>57341</v>
      </c>
      <c r="F144" s="1">
        <v>4129</v>
      </c>
      <c r="G144" s="1">
        <v>4</v>
      </c>
    </row>
    <row r="145" spans="1:7" x14ac:dyDescent="0.3">
      <c r="A145" s="1">
        <v>1144</v>
      </c>
      <c r="B145" s="1" t="s">
        <v>16</v>
      </c>
      <c r="C145" s="1" t="s">
        <v>19</v>
      </c>
      <c r="D145" s="1" t="s">
        <v>12</v>
      </c>
      <c r="E145" s="1">
        <v>24667</v>
      </c>
      <c r="F145" s="1">
        <v>7693</v>
      </c>
      <c r="G145" s="1">
        <v>3</v>
      </c>
    </row>
    <row r="146" spans="1:7" x14ac:dyDescent="0.3">
      <c r="A146" s="1">
        <v>1145</v>
      </c>
      <c r="B146" s="1" t="s">
        <v>24</v>
      </c>
      <c r="C146" s="1" t="s">
        <v>19</v>
      </c>
      <c r="D146" s="1" t="s">
        <v>21</v>
      </c>
      <c r="E146" s="1">
        <v>21739</v>
      </c>
      <c r="F146" s="1">
        <v>7379</v>
      </c>
      <c r="G146" s="1">
        <v>8</v>
      </c>
    </row>
    <row r="147" spans="1:7" x14ac:dyDescent="0.3">
      <c r="A147" s="1">
        <v>1146</v>
      </c>
      <c r="B147" s="1" t="s">
        <v>22</v>
      </c>
      <c r="C147" s="1" t="s">
        <v>14</v>
      </c>
      <c r="D147" s="1" t="s">
        <v>21</v>
      </c>
      <c r="E147" s="1">
        <v>58099</v>
      </c>
      <c r="F147" s="1">
        <v>5243</v>
      </c>
      <c r="G147" s="1">
        <v>5</v>
      </c>
    </row>
    <row r="148" spans="1:7" x14ac:dyDescent="0.3">
      <c r="A148" s="1">
        <v>1147</v>
      </c>
      <c r="B148" s="1" t="s">
        <v>13</v>
      </c>
      <c r="C148" s="1" t="s">
        <v>14</v>
      </c>
      <c r="D148" s="1" t="s">
        <v>15</v>
      </c>
      <c r="E148" s="1">
        <v>47929</v>
      </c>
      <c r="F148" s="1">
        <v>4306</v>
      </c>
      <c r="G148" s="1">
        <v>6</v>
      </c>
    </row>
    <row r="149" spans="1:7" x14ac:dyDescent="0.3">
      <c r="A149" s="1">
        <v>1148</v>
      </c>
      <c r="B149" s="1" t="s">
        <v>27</v>
      </c>
      <c r="C149" s="1" t="s">
        <v>8</v>
      </c>
      <c r="D149" s="1" t="s">
        <v>21</v>
      </c>
      <c r="E149" s="1">
        <v>22609</v>
      </c>
      <c r="F149" s="1">
        <v>7674</v>
      </c>
      <c r="G149" s="1">
        <v>7</v>
      </c>
    </row>
    <row r="150" spans="1:7" x14ac:dyDescent="0.3">
      <c r="A150" s="1">
        <v>1149</v>
      </c>
      <c r="B150" s="1" t="s">
        <v>34</v>
      </c>
      <c r="C150" s="1" t="s">
        <v>19</v>
      </c>
      <c r="D150" s="1" t="s">
        <v>15</v>
      </c>
      <c r="E150" s="1">
        <v>46977</v>
      </c>
      <c r="F150" s="1">
        <v>3949</v>
      </c>
      <c r="G150" s="1">
        <v>3</v>
      </c>
    </row>
    <row r="151" spans="1:7" x14ac:dyDescent="0.3">
      <c r="A151" s="1">
        <v>1150</v>
      </c>
      <c r="B151" s="1" t="s">
        <v>18</v>
      </c>
      <c r="C151" s="1" t="s">
        <v>19</v>
      </c>
      <c r="D151" s="1" t="s">
        <v>21</v>
      </c>
      <c r="E151" s="1">
        <v>60494</v>
      </c>
      <c r="F151" s="1">
        <v>4222</v>
      </c>
      <c r="G151" s="1">
        <v>5</v>
      </c>
    </row>
    <row r="152" spans="1:7" x14ac:dyDescent="0.3">
      <c r="A152" s="1">
        <v>1151</v>
      </c>
      <c r="B152" s="1" t="s">
        <v>34</v>
      </c>
      <c r="C152" s="1" t="s">
        <v>11</v>
      </c>
      <c r="D152" s="1" t="s">
        <v>15</v>
      </c>
      <c r="E152" s="1">
        <v>76345</v>
      </c>
      <c r="F152" s="1">
        <v>4343</v>
      </c>
      <c r="G152" s="1">
        <v>3</v>
      </c>
    </row>
    <row r="153" spans="1:7" x14ac:dyDescent="0.3">
      <c r="A153" s="1">
        <v>1152</v>
      </c>
      <c r="B153" s="1" t="s">
        <v>10</v>
      </c>
      <c r="C153" s="1" t="s">
        <v>19</v>
      </c>
      <c r="D153" s="1" t="s">
        <v>12</v>
      </c>
      <c r="E153" s="1">
        <v>57626</v>
      </c>
      <c r="F153" s="1">
        <v>6698</v>
      </c>
      <c r="G153" s="1">
        <v>9</v>
      </c>
    </row>
    <row r="154" spans="1:7" x14ac:dyDescent="0.3">
      <c r="A154" s="1">
        <v>1153</v>
      </c>
      <c r="B154" s="1" t="s">
        <v>29</v>
      </c>
      <c r="C154" s="1" t="s">
        <v>19</v>
      </c>
      <c r="D154" s="1" t="s">
        <v>12</v>
      </c>
      <c r="E154" s="1">
        <v>44248</v>
      </c>
      <c r="F154" s="1">
        <v>3806</v>
      </c>
      <c r="G154" s="1">
        <v>8</v>
      </c>
    </row>
    <row r="155" spans="1:7" x14ac:dyDescent="0.3">
      <c r="A155" s="1">
        <v>1154</v>
      </c>
      <c r="B155" s="1" t="s">
        <v>27</v>
      </c>
      <c r="C155" s="1" t="s">
        <v>19</v>
      </c>
      <c r="D155" s="1" t="s">
        <v>15</v>
      </c>
      <c r="E155" s="1">
        <v>78746</v>
      </c>
      <c r="F155" s="1">
        <v>1003</v>
      </c>
      <c r="G155" s="1">
        <v>10</v>
      </c>
    </row>
    <row r="156" spans="1:7" x14ac:dyDescent="0.3">
      <c r="A156" s="1">
        <v>1155</v>
      </c>
      <c r="B156" s="1" t="s">
        <v>20</v>
      </c>
      <c r="C156" s="1" t="s">
        <v>19</v>
      </c>
      <c r="D156" s="1" t="s">
        <v>21</v>
      </c>
      <c r="E156" s="1">
        <v>33611</v>
      </c>
      <c r="F156" s="1">
        <v>6183</v>
      </c>
      <c r="G156" s="1">
        <v>7</v>
      </c>
    </row>
    <row r="157" spans="1:7" x14ac:dyDescent="0.3">
      <c r="A157" s="1">
        <v>1156</v>
      </c>
      <c r="B157" s="1" t="s">
        <v>29</v>
      </c>
      <c r="C157" s="1" t="s">
        <v>14</v>
      </c>
      <c r="D157" s="1" t="s">
        <v>21</v>
      </c>
      <c r="E157" s="1">
        <v>33415</v>
      </c>
      <c r="F157" s="1">
        <v>7380</v>
      </c>
      <c r="G157" s="1">
        <v>1</v>
      </c>
    </row>
    <row r="158" spans="1:7" x14ac:dyDescent="0.3">
      <c r="A158" s="1">
        <v>1157</v>
      </c>
      <c r="B158" s="1" t="s">
        <v>16</v>
      </c>
      <c r="C158" s="1" t="s">
        <v>14</v>
      </c>
      <c r="D158" s="1" t="s">
        <v>12</v>
      </c>
      <c r="E158" s="1">
        <v>31503</v>
      </c>
      <c r="F158" s="1">
        <v>3768</v>
      </c>
      <c r="G158" s="1">
        <v>2</v>
      </c>
    </row>
    <row r="159" spans="1:7" x14ac:dyDescent="0.3">
      <c r="A159" s="1">
        <v>1158</v>
      </c>
      <c r="B159" s="1" t="s">
        <v>28</v>
      </c>
      <c r="C159" s="1" t="s">
        <v>19</v>
      </c>
      <c r="D159" s="1" t="s">
        <v>9</v>
      </c>
      <c r="E159" s="1">
        <v>54251</v>
      </c>
      <c r="F159" s="1">
        <v>6419</v>
      </c>
      <c r="G159" s="1">
        <v>5</v>
      </c>
    </row>
    <row r="160" spans="1:7" x14ac:dyDescent="0.3">
      <c r="A160" s="1">
        <v>1159</v>
      </c>
      <c r="B160" s="1" t="s">
        <v>17</v>
      </c>
      <c r="C160" s="1" t="s">
        <v>11</v>
      </c>
      <c r="D160" s="1" t="s">
        <v>9</v>
      </c>
      <c r="E160" s="1">
        <v>45175</v>
      </c>
      <c r="F160" s="1">
        <v>8040</v>
      </c>
      <c r="G160" s="1">
        <v>10</v>
      </c>
    </row>
    <row r="161" spans="1:7" x14ac:dyDescent="0.3">
      <c r="A161" s="1">
        <v>1160</v>
      </c>
      <c r="B161" s="1" t="s">
        <v>18</v>
      </c>
      <c r="C161" s="1" t="s">
        <v>8</v>
      </c>
      <c r="D161" s="1" t="s">
        <v>21</v>
      </c>
      <c r="E161" s="1">
        <v>70498</v>
      </c>
      <c r="F161" s="1">
        <v>5555</v>
      </c>
      <c r="G161" s="1">
        <v>9</v>
      </c>
    </row>
    <row r="162" spans="1:7" x14ac:dyDescent="0.3">
      <c r="A162" s="1">
        <v>1161</v>
      </c>
      <c r="B162" s="1" t="s">
        <v>29</v>
      </c>
      <c r="C162" s="1" t="s">
        <v>19</v>
      </c>
      <c r="D162" s="1" t="s">
        <v>12</v>
      </c>
      <c r="E162" s="1">
        <v>55331</v>
      </c>
      <c r="F162" s="1">
        <v>5247</v>
      </c>
      <c r="G162" s="1">
        <v>5</v>
      </c>
    </row>
    <row r="163" spans="1:7" x14ac:dyDescent="0.3">
      <c r="A163" s="1">
        <v>1162</v>
      </c>
      <c r="B163" s="1" t="s">
        <v>20</v>
      </c>
      <c r="C163" s="1" t="s">
        <v>19</v>
      </c>
      <c r="D163" s="1" t="s">
        <v>15</v>
      </c>
      <c r="E163" s="1">
        <v>64798</v>
      </c>
      <c r="F163" s="1">
        <v>9017</v>
      </c>
      <c r="G163" s="1">
        <v>5</v>
      </c>
    </row>
    <row r="164" spans="1:7" x14ac:dyDescent="0.3">
      <c r="A164" s="1">
        <v>1163</v>
      </c>
      <c r="B164" s="1" t="s">
        <v>30</v>
      </c>
      <c r="C164" s="1" t="s">
        <v>14</v>
      </c>
      <c r="D164" s="1" t="s">
        <v>15</v>
      </c>
      <c r="E164" s="1">
        <v>63306</v>
      </c>
      <c r="F164" s="1">
        <v>2001</v>
      </c>
      <c r="G164" s="1">
        <v>2</v>
      </c>
    </row>
    <row r="165" spans="1:7" x14ac:dyDescent="0.3">
      <c r="A165" s="1">
        <v>1164</v>
      </c>
      <c r="B165" s="1" t="s">
        <v>27</v>
      </c>
      <c r="C165" s="1" t="s">
        <v>14</v>
      </c>
      <c r="D165" s="1" t="s">
        <v>12</v>
      </c>
      <c r="E165" s="1">
        <v>71398</v>
      </c>
      <c r="F165" s="1">
        <v>5683</v>
      </c>
      <c r="G165" s="1">
        <v>6</v>
      </c>
    </row>
    <row r="166" spans="1:7" x14ac:dyDescent="0.3">
      <c r="A166" s="1">
        <v>1165</v>
      </c>
      <c r="B166" s="1" t="s">
        <v>26</v>
      </c>
      <c r="C166" s="1" t="s">
        <v>19</v>
      </c>
      <c r="D166" s="1" t="s">
        <v>9</v>
      </c>
      <c r="E166" s="1">
        <v>21242</v>
      </c>
      <c r="F166" s="1">
        <v>4151</v>
      </c>
      <c r="G166" s="1">
        <v>8</v>
      </c>
    </row>
    <row r="167" spans="1:7" x14ac:dyDescent="0.3">
      <c r="A167" s="1">
        <v>1166</v>
      </c>
      <c r="B167" s="1" t="s">
        <v>30</v>
      </c>
      <c r="C167" s="1" t="s">
        <v>14</v>
      </c>
      <c r="D167" s="1" t="s">
        <v>12</v>
      </c>
      <c r="E167" s="1">
        <v>46098</v>
      </c>
      <c r="F167" s="1">
        <v>2242</v>
      </c>
      <c r="G167" s="1">
        <v>2</v>
      </c>
    </row>
    <row r="168" spans="1:7" x14ac:dyDescent="0.3">
      <c r="A168" s="1">
        <v>1167</v>
      </c>
      <c r="B168" s="1" t="s">
        <v>34</v>
      </c>
      <c r="C168" s="1" t="s">
        <v>8</v>
      </c>
      <c r="D168" s="1" t="s">
        <v>15</v>
      </c>
      <c r="E168" s="1">
        <v>78975</v>
      </c>
      <c r="F168" s="1">
        <v>7971</v>
      </c>
      <c r="G168" s="1">
        <v>1</v>
      </c>
    </row>
    <row r="169" spans="1:7" x14ac:dyDescent="0.3">
      <c r="A169" s="1">
        <v>1168</v>
      </c>
      <c r="B169" s="1" t="s">
        <v>16</v>
      </c>
      <c r="C169" s="1" t="s">
        <v>19</v>
      </c>
      <c r="D169" s="1" t="s">
        <v>12</v>
      </c>
      <c r="E169" s="1">
        <v>26070</v>
      </c>
      <c r="F169" s="1">
        <v>6110</v>
      </c>
      <c r="G169" s="1">
        <v>8</v>
      </c>
    </row>
    <row r="170" spans="1:7" x14ac:dyDescent="0.3">
      <c r="A170" s="1">
        <v>1169</v>
      </c>
      <c r="B170" s="1" t="s">
        <v>25</v>
      </c>
      <c r="C170" s="1" t="s">
        <v>19</v>
      </c>
      <c r="D170" s="1" t="s">
        <v>9</v>
      </c>
      <c r="E170" s="1">
        <v>20631</v>
      </c>
      <c r="F170" s="1">
        <v>2822</v>
      </c>
      <c r="G170" s="1">
        <v>3</v>
      </c>
    </row>
    <row r="171" spans="1:7" x14ac:dyDescent="0.3">
      <c r="A171" s="1">
        <v>1170</v>
      </c>
      <c r="B171" s="1" t="s">
        <v>17</v>
      </c>
      <c r="C171" s="1" t="s">
        <v>19</v>
      </c>
      <c r="D171" s="1" t="s">
        <v>9</v>
      </c>
      <c r="E171" s="1">
        <v>35132</v>
      </c>
      <c r="F171" s="1">
        <v>8238</v>
      </c>
      <c r="G171" s="1">
        <v>3</v>
      </c>
    </row>
    <row r="172" spans="1:7" x14ac:dyDescent="0.3">
      <c r="A172" s="1">
        <v>1171</v>
      </c>
      <c r="B172" s="1" t="s">
        <v>27</v>
      </c>
      <c r="C172" s="1" t="s">
        <v>19</v>
      </c>
      <c r="D172" s="1" t="s">
        <v>21</v>
      </c>
      <c r="E172" s="1">
        <v>44462</v>
      </c>
      <c r="F172" s="1">
        <v>9032</v>
      </c>
      <c r="G172" s="1">
        <v>3</v>
      </c>
    </row>
    <row r="173" spans="1:7" x14ac:dyDescent="0.3">
      <c r="A173" s="1">
        <v>1172</v>
      </c>
      <c r="B173" s="1" t="s">
        <v>28</v>
      </c>
      <c r="C173" s="1" t="s">
        <v>11</v>
      </c>
      <c r="D173" s="1" t="s">
        <v>9</v>
      </c>
      <c r="E173" s="1">
        <v>34266</v>
      </c>
      <c r="F173" s="1">
        <v>3393</v>
      </c>
      <c r="G173" s="1">
        <v>8</v>
      </c>
    </row>
    <row r="174" spans="1:7" x14ac:dyDescent="0.3">
      <c r="A174" s="1">
        <v>1173</v>
      </c>
      <c r="B174" s="1" t="s">
        <v>13</v>
      </c>
      <c r="C174" s="1" t="s">
        <v>11</v>
      </c>
      <c r="D174" s="1" t="s">
        <v>21</v>
      </c>
      <c r="E174" s="1">
        <v>30560</v>
      </c>
      <c r="F174" s="1">
        <v>1838</v>
      </c>
      <c r="G174" s="1">
        <v>5</v>
      </c>
    </row>
    <row r="175" spans="1:7" x14ac:dyDescent="0.3">
      <c r="A175" s="1">
        <v>1174</v>
      </c>
      <c r="B175" s="1" t="s">
        <v>28</v>
      </c>
      <c r="C175" s="1" t="s">
        <v>8</v>
      </c>
      <c r="D175" s="1" t="s">
        <v>9</v>
      </c>
      <c r="E175" s="1">
        <v>51855</v>
      </c>
      <c r="F175" s="1">
        <v>9985</v>
      </c>
      <c r="G175" s="1">
        <v>10</v>
      </c>
    </row>
    <row r="176" spans="1:7" x14ac:dyDescent="0.3">
      <c r="A176" s="1">
        <v>1175</v>
      </c>
      <c r="B176" s="1" t="s">
        <v>18</v>
      </c>
      <c r="C176" s="1" t="s">
        <v>19</v>
      </c>
      <c r="D176" s="1" t="s">
        <v>21</v>
      </c>
      <c r="E176" s="1">
        <v>35005</v>
      </c>
      <c r="F176" s="1">
        <v>3384</v>
      </c>
      <c r="G176" s="1">
        <v>7</v>
      </c>
    </row>
    <row r="177" spans="1:7" x14ac:dyDescent="0.3">
      <c r="A177" s="1">
        <v>1176</v>
      </c>
      <c r="B177" s="1" t="s">
        <v>31</v>
      </c>
      <c r="C177" s="1" t="s">
        <v>11</v>
      </c>
      <c r="D177" s="1" t="s">
        <v>12</v>
      </c>
      <c r="E177" s="1">
        <v>37553</v>
      </c>
      <c r="F177" s="1">
        <v>6097</v>
      </c>
      <c r="G177" s="1">
        <v>1</v>
      </c>
    </row>
    <row r="178" spans="1:7" x14ac:dyDescent="0.3">
      <c r="A178" s="1">
        <v>1177</v>
      </c>
      <c r="B178" s="1" t="s">
        <v>20</v>
      </c>
      <c r="C178" s="1" t="s">
        <v>11</v>
      </c>
      <c r="D178" s="1" t="s">
        <v>12</v>
      </c>
      <c r="E178" s="1">
        <v>58007</v>
      </c>
      <c r="F178" s="1">
        <v>4127</v>
      </c>
      <c r="G178" s="1">
        <v>6</v>
      </c>
    </row>
    <row r="179" spans="1:7" x14ac:dyDescent="0.3">
      <c r="A179" s="1">
        <v>1178</v>
      </c>
      <c r="B179" s="1" t="s">
        <v>26</v>
      </c>
      <c r="C179" s="1" t="s">
        <v>8</v>
      </c>
      <c r="D179" s="1" t="s">
        <v>12</v>
      </c>
      <c r="E179" s="1">
        <v>44886</v>
      </c>
      <c r="F179" s="1">
        <v>3752</v>
      </c>
      <c r="G179" s="1">
        <v>8</v>
      </c>
    </row>
    <row r="180" spans="1:7" x14ac:dyDescent="0.3">
      <c r="A180" s="1">
        <v>1179</v>
      </c>
      <c r="B180" s="1" t="s">
        <v>31</v>
      </c>
      <c r="C180" s="1" t="s">
        <v>8</v>
      </c>
      <c r="D180" s="1" t="s">
        <v>12</v>
      </c>
      <c r="E180" s="1">
        <v>21895</v>
      </c>
      <c r="F180" s="1">
        <v>5325</v>
      </c>
      <c r="G180" s="1">
        <v>9</v>
      </c>
    </row>
    <row r="181" spans="1:7" x14ac:dyDescent="0.3">
      <c r="A181" s="1">
        <v>1180</v>
      </c>
      <c r="B181" s="1" t="s">
        <v>27</v>
      </c>
      <c r="C181" s="1" t="s">
        <v>14</v>
      </c>
      <c r="D181" s="1" t="s">
        <v>9</v>
      </c>
      <c r="E181" s="1">
        <v>67885</v>
      </c>
      <c r="F181" s="1">
        <v>8490</v>
      </c>
      <c r="G181" s="1">
        <v>2</v>
      </c>
    </row>
    <row r="182" spans="1:7" x14ac:dyDescent="0.3">
      <c r="A182" s="1">
        <v>1181</v>
      </c>
      <c r="B182" s="1" t="s">
        <v>33</v>
      </c>
      <c r="C182" s="1" t="s">
        <v>14</v>
      </c>
      <c r="D182" s="1" t="s">
        <v>12</v>
      </c>
      <c r="E182" s="1">
        <v>54803</v>
      </c>
      <c r="F182" s="1">
        <v>9775</v>
      </c>
      <c r="G182" s="1">
        <v>6</v>
      </c>
    </row>
    <row r="183" spans="1:7" x14ac:dyDescent="0.3">
      <c r="A183" s="1">
        <v>1182</v>
      </c>
      <c r="B183" s="1" t="s">
        <v>20</v>
      </c>
      <c r="C183" s="1" t="s">
        <v>14</v>
      </c>
      <c r="D183" s="1" t="s">
        <v>15</v>
      </c>
      <c r="E183" s="1">
        <v>33998</v>
      </c>
      <c r="F183" s="1">
        <v>9740</v>
      </c>
      <c r="G183" s="1">
        <v>1</v>
      </c>
    </row>
    <row r="184" spans="1:7" x14ac:dyDescent="0.3">
      <c r="A184" s="1">
        <v>1183</v>
      </c>
      <c r="B184" s="1" t="s">
        <v>13</v>
      </c>
      <c r="C184" s="1" t="s">
        <v>14</v>
      </c>
      <c r="D184" s="1" t="s">
        <v>15</v>
      </c>
      <c r="E184" s="1">
        <v>42192</v>
      </c>
      <c r="F184" s="1">
        <v>4501</v>
      </c>
      <c r="G184" s="1">
        <v>1</v>
      </c>
    </row>
    <row r="185" spans="1:7" x14ac:dyDescent="0.3">
      <c r="A185" s="1">
        <v>1184</v>
      </c>
      <c r="B185" s="1" t="s">
        <v>23</v>
      </c>
      <c r="C185" s="1" t="s">
        <v>11</v>
      </c>
      <c r="D185" s="1" t="s">
        <v>15</v>
      </c>
      <c r="E185" s="1">
        <v>38608</v>
      </c>
      <c r="F185" s="1">
        <v>1166</v>
      </c>
      <c r="G185" s="1">
        <v>7</v>
      </c>
    </row>
    <row r="186" spans="1:7" x14ac:dyDescent="0.3">
      <c r="A186" s="1">
        <v>1185</v>
      </c>
      <c r="B186" s="1" t="s">
        <v>30</v>
      </c>
      <c r="C186" s="1" t="s">
        <v>8</v>
      </c>
      <c r="D186" s="1" t="s">
        <v>9</v>
      </c>
      <c r="E186" s="1">
        <v>56134</v>
      </c>
      <c r="F186" s="1">
        <v>2119</v>
      </c>
      <c r="G186" s="1">
        <v>3</v>
      </c>
    </row>
    <row r="187" spans="1:7" x14ac:dyDescent="0.3">
      <c r="A187" s="1">
        <v>1186</v>
      </c>
      <c r="B187" s="1" t="s">
        <v>27</v>
      </c>
      <c r="C187" s="1" t="s">
        <v>19</v>
      </c>
      <c r="D187" s="1" t="s">
        <v>9</v>
      </c>
      <c r="E187" s="1">
        <v>47213</v>
      </c>
      <c r="F187" s="1">
        <v>2028</v>
      </c>
      <c r="G187" s="1">
        <v>3</v>
      </c>
    </row>
    <row r="188" spans="1:7" x14ac:dyDescent="0.3">
      <c r="A188" s="1">
        <v>1187</v>
      </c>
      <c r="B188" s="1" t="s">
        <v>7</v>
      </c>
      <c r="C188" s="1" t="s">
        <v>8</v>
      </c>
      <c r="D188" s="1" t="s">
        <v>9</v>
      </c>
      <c r="E188" s="1">
        <v>31666</v>
      </c>
      <c r="F188" s="1">
        <v>1066</v>
      </c>
      <c r="G188" s="1">
        <v>7</v>
      </c>
    </row>
    <row r="189" spans="1:7" x14ac:dyDescent="0.3">
      <c r="A189" s="1">
        <v>1188</v>
      </c>
      <c r="B189" s="1" t="s">
        <v>32</v>
      </c>
      <c r="C189" s="1" t="s">
        <v>8</v>
      </c>
      <c r="D189" s="1" t="s">
        <v>9</v>
      </c>
      <c r="E189" s="1">
        <v>32596</v>
      </c>
      <c r="F189" s="1">
        <v>1819</v>
      </c>
      <c r="G189" s="1">
        <v>10</v>
      </c>
    </row>
    <row r="190" spans="1:7" x14ac:dyDescent="0.3">
      <c r="A190" s="1">
        <v>1189</v>
      </c>
      <c r="B190" s="1" t="s">
        <v>30</v>
      </c>
      <c r="C190" s="1" t="s">
        <v>11</v>
      </c>
      <c r="D190" s="1" t="s">
        <v>12</v>
      </c>
      <c r="E190" s="1">
        <v>69517</v>
      </c>
      <c r="F190" s="1">
        <v>3075</v>
      </c>
      <c r="G190" s="1">
        <v>7</v>
      </c>
    </row>
    <row r="191" spans="1:7" x14ac:dyDescent="0.3">
      <c r="A191" s="1">
        <v>1190</v>
      </c>
      <c r="B191" s="1" t="s">
        <v>7</v>
      </c>
      <c r="C191" s="1" t="s">
        <v>14</v>
      </c>
      <c r="D191" s="1" t="s">
        <v>15</v>
      </c>
      <c r="E191" s="1">
        <v>55079</v>
      </c>
      <c r="F191" s="1">
        <v>9032</v>
      </c>
      <c r="G191" s="1">
        <v>7</v>
      </c>
    </row>
    <row r="192" spans="1:7" x14ac:dyDescent="0.3">
      <c r="A192" s="1">
        <v>1191</v>
      </c>
      <c r="B192" s="1" t="s">
        <v>13</v>
      </c>
      <c r="C192" s="1" t="s">
        <v>11</v>
      </c>
      <c r="D192" s="1" t="s">
        <v>9</v>
      </c>
      <c r="E192" s="1">
        <v>66992</v>
      </c>
      <c r="F192" s="1">
        <v>9201</v>
      </c>
      <c r="G192" s="1">
        <v>4</v>
      </c>
    </row>
    <row r="193" spans="1:7" x14ac:dyDescent="0.3">
      <c r="A193" s="1">
        <v>1192</v>
      </c>
      <c r="B193" s="1" t="s">
        <v>20</v>
      </c>
      <c r="C193" s="1" t="s">
        <v>8</v>
      </c>
      <c r="D193" s="1" t="s">
        <v>21</v>
      </c>
      <c r="E193" s="1">
        <v>44664</v>
      </c>
      <c r="F193" s="1">
        <v>8413</v>
      </c>
      <c r="G193" s="1">
        <v>6</v>
      </c>
    </row>
    <row r="194" spans="1:7" x14ac:dyDescent="0.3">
      <c r="A194" s="1">
        <v>1193</v>
      </c>
      <c r="B194" s="1" t="s">
        <v>32</v>
      </c>
      <c r="C194" s="1" t="s">
        <v>14</v>
      </c>
      <c r="D194" s="1" t="s">
        <v>15</v>
      </c>
      <c r="E194" s="1">
        <v>47580</v>
      </c>
      <c r="F194" s="1">
        <v>4552</v>
      </c>
      <c r="G194" s="1">
        <v>6</v>
      </c>
    </row>
    <row r="195" spans="1:7" x14ac:dyDescent="0.3">
      <c r="A195" s="1">
        <v>1194</v>
      </c>
      <c r="B195" s="1" t="s">
        <v>13</v>
      </c>
      <c r="C195" s="1" t="s">
        <v>8</v>
      </c>
      <c r="D195" s="1" t="s">
        <v>21</v>
      </c>
      <c r="E195" s="1">
        <v>36345</v>
      </c>
      <c r="F195" s="1">
        <v>9023</v>
      </c>
      <c r="G195" s="1">
        <v>6</v>
      </c>
    </row>
    <row r="196" spans="1:7" x14ac:dyDescent="0.3">
      <c r="A196" s="1">
        <v>1195</v>
      </c>
      <c r="B196" s="1" t="s">
        <v>33</v>
      </c>
      <c r="C196" s="1" t="s">
        <v>8</v>
      </c>
      <c r="D196" s="1" t="s">
        <v>15</v>
      </c>
      <c r="E196" s="1">
        <v>52111</v>
      </c>
      <c r="F196" s="1">
        <v>5478</v>
      </c>
      <c r="G196" s="1">
        <v>9</v>
      </c>
    </row>
    <row r="197" spans="1:7" x14ac:dyDescent="0.3">
      <c r="A197" s="1">
        <v>1196</v>
      </c>
      <c r="B197" s="1" t="s">
        <v>26</v>
      </c>
      <c r="C197" s="1" t="s">
        <v>11</v>
      </c>
      <c r="D197" s="1" t="s">
        <v>21</v>
      </c>
      <c r="E197" s="1">
        <v>64671</v>
      </c>
      <c r="F197" s="1">
        <v>8872</v>
      </c>
      <c r="G197" s="1">
        <v>2</v>
      </c>
    </row>
    <row r="198" spans="1:7" x14ac:dyDescent="0.3">
      <c r="A198" s="1">
        <v>1197</v>
      </c>
      <c r="B198" s="1" t="s">
        <v>13</v>
      </c>
      <c r="C198" s="1" t="s">
        <v>11</v>
      </c>
      <c r="D198" s="1" t="s">
        <v>12</v>
      </c>
      <c r="E198" s="1">
        <v>40141</v>
      </c>
      <c r="F198" s="1">
        <v>8464</v>
      </c>
      <c r="G198" s="1">
        <v>5</v>
      </c>
    </row>
    <row r="199" spans="1:7" x14ac:dyDescent="0.3">
      <c r="A199" s="1">
        <v>1198</v>
      </c>
      <c r="B199" s="1" t="s">
        <v>18</v>
      </c>
      <c r="C199" s="1" t="s">
        <v>14</v>
      </c>
      <c r="D199" s="1" t="s">
        <v>21</v>
      </c>
      <c r="E199" s="1">
        <v>43489</v>
      </c>
      <c r="F199" s="1">
        <v>2907</v>
      </c>
      <c r="G199" s="1">
        <v>4</v>
      </c>
    </row>
    <row r="200" spans="1:7" x14ac:dyDescent="0.3">
      <c r="A200" s="1">
        <v>1199</v>
      </c>
      <c r="B200" s="1" t="s">
        <v>24</v>
      </c>
      <c r="C200" s="1" t="s">
        <v>8</v>
      </c>
      <c r="D200" s="1" t="s">
        <v>15</v>
      </c>
      <c r="E200" s="1">
        <v>69522</v>
      </c>
      <c r="F200" s="1">
        <v>7203</v>
      </c>
      <c r="G200" s="1">
        <v>7</v>
      </c>
    </row>
    <row r="201" spans="1:7" x14ac:dyDescent="0.3">
      <c r="A201" s="1">
        <v>1200</v>
      </c>
      <c r="B201" s="1" t="s">
        <v>31</v>
      </c>
      <c r="C201" s="1" t="s">
        <v>8</v>
      </c>
      <c r="D201" s="1" t="s">
        <v>15</v>
      </c>
      <c r="E201" s="1">
        <v>31001</v>
      </c>
      <c r="F201" s="1">
        <v>6324</v>
      </c>
      <c r="G201" s="1">
        <v>9</v>
      </c>
    </row>
  </sheetData>
  <mergeCells count="7">
    <mergeCell ref="M29:P29"/>
    <mergeCell ref="M32:P32"/>
    <mergeCell ref="M33:P33"/>
    <mergeCell ref="M5:N5"/>
    <mergeCell ref="L13:Q13"/>
    <mergeCell ref="L20:Q20"/>
    <mergeCell ref="M28:P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84E7-AC64-4DA1-99B1-A14C02C0B19B}">
  <dimension ref="A1:K201"/>
  <sheetViews>
    <sheetView workbookViewId="0">
      <selection activeCell="K20" sqref="K20"/>
    </sheetView>
  </sheetViews>
  <sheetFormatPr defaultRowHeight="14.4" x14ac:dyDescent="0.3"/>
  <cols>
    <col min="7" max="7" width="15.44140625" bestFit="1" customWidth="1"/>
    <col min="8" max="8" width="11.77734375" style="1" bestFit="1" customWidth="1"/>
    <col min="9" max="9" width="10.33203125" style="1" bestFit="1" customWidth="1"/>
    <col min="10" max="10" width="11.44140625" style="1" bestFit="1" customWidth="1"/>
    <col min="11" max="11" width="18.33203125" style="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5" t="s">
        <v>44</v>
      </c>
      <c r="I1" s="25" t="s">
        <v>45</v>
      </c>
      <c r="J1" s="25" t="s">
        <v>46</v>
      </c>
      <c r="K1" s="25" t="s">
        <v>47</v>
      </c>
    </row>
    <row r="2" spans="1:11" x14ac:dyDescent="0.3">
      <c r="A2" s="1">
        <v>1001</v>
      </c>
      <c r="B2" s="1" t="s">
        <v>7</v>
      </c>
      <c r="C2" s="1" t="s">
        <v>8</v>
      </c>
      <c r="D2" s="1" t="s">
        <v>9</v>
      </c>
      <c r="E2" s="1">
        <v>50226</v>
      </c>
      <c r="F2" s="1">
        <v>5581</v>
      </c>
      <c r="G2" s="24">
        <v>4</v>
      </c>
      <c r="H2" s="1" t="str">
        <f>IF(AND(E2&gt;50000,G2&gt;5),"Senior", "Junior")</f>
        <v>Junior</v>
      </c>
      <c r="I2" s="1" t="str">
        <f>IF(OR(D2="South",D2="North"), "Main", "Other")</f>
        <v>Main</v>
      </c>
      <c r="J2" s="1" t="str" cm="1">
        <f t="array" ref="J2">_xlfn.IFS(E2&gt;60000,"High",E2&gt;40000, "Medium", E2&lt;40000,"low")</f>
        <v>Medium</v>
      </c>
      <c r="K2" s="1" t="str">
        <f>IF(AND(E2&gt;50000,F1&gt;5000),"Good", "Average")</f>
        <v>Good</v>
      </c>
    </row>
    <row r="3" spans="1:11" x14ac:dyDescent="0.3">
      <c r="A3" s="1">
        <v>1002</v>
      </c>
      <c r="B3" s="1" t="s">
        <v>10</v>
      </c>
      <c r="C3" s="1" t="s">
        <v>11</v>
      </c>
      <c r="D3" s="1" t="s">
        <v>12</v>
      </c>
      <c r="E3" s="1">
        <v>20625</v>
      </c>
      <c r="F3" s="1">
        <v>6504</v>
      </c>
      <c r="G3" s="24">
        <v>8</v>
      </c>
      <c r="H3" s="1" t="str">
        <f t="shared" ref="H3:H66" si="0">IF(AND(E3&gt;50000,G3&gt;5),"Senior", "Junior")</f>
        <v>Junior</v>
      </c>
      <c r="I3" s="1" t="str">
        <f t="shared" ref="I3:I66" si="1">IF(OR(D3="South",D3="North"), "Main", "Other")</f>
        <v>Other</v>
      </c>
      <c r="J3" s="1" t="str" cm="1">
        <f t="array" ref="J3">_xlfn.IFS(E3&gt;60000,"High",E3&gt;40000, "Medium", E3&lt;40000,"low")</f>
        <v>low</v>
      </c>
      <c r="K3" s="1" t="str">
        <f t="shared" ref="K3:K66" si="2">IF(AND(E3&gt;50000,F2&gt;5000),"Good", "Average")</f>
        <v>Average</v>
      </c>
    </row>
    <row r="4" spans="1:11" x14ac:dyDescent="0.3">
      <c r="A4" s="1">
        <v>1003</v>
      </c>
      <c r="B4" s="1" t="s">
        <v>13</v>
      </c>
      <c r="C4" s="1" t="s">
        <v>14</v>
      </c>
      <c r="D4" s="1" t="s">
        <v>15</v>
      </c>
      <c r="E4" s="1">
        <v>54226</v>
      </c>
      <c r="F4" s="1">
        <v>8405</v>
      </c>
      <c r="G4" s="24">
        <v>1</v>
      </c>
      <c r="H4" s="1" t="str">
        <f t="shared" si="0"/>
        <v>Junior</v>
      </c>
      <c r="I4" s="1" t="str">
        <f t="shared" si="1"/>
        <v>Other</v>
      </c>
      <c r="J4" s="1" t="str" cm="1">
        <f t="array" ref="J4">_xlfn.IFS(E4&gt;60000,"High",E4&gt;40000, "Medium", E4&lt;40000,"low")</f>
        <v>Medium</v>
      </c>
      <c r="K4" s="1" t="str">
        <f t="shared" si="2"/>
        <v>Good</v>
      </c>
    </row>
    <row r="5" spans="1:11" x14ac:dyDescent="0.3">
      <c r="A5" s="1" t="s">
        <v>35</v>
      </c>
      <c r="B5" s="1" t="s">
        <v>16</v>
      </c>
      <c r="C5" s="1" t="s">
        <v>14</v>
      </c>
      <c r="D5" s="1" t="s">
        <v>12</v>
      </c>
      <c r="E5" s="1">
        <v>20937</v>
      </c>
      <c r="F5" s="1">
        <v>9217</v>
      </c>
      <c r="G5" s="24">
        <v>3</v>
      </c>
      <c r="H5" s="1" t="str">
        <f t="shared" si="0"/>
        <v>Junior</v>
      </c>
      <c r="I5" s="1" t="str">
        <f t="shared" si="1"/>
        <v>Other</v>
      </c>
      <c r="J5" s="1" t="str" cm="1">
        <f t="array" ref="J5">_xlfn.IFS(E5&gt;60000,"High",E5&gt;40000, "Medium", E5&lt;40000,"low")</f>
        <v>low</v>
      </c>
      <c r="K5" s="1" t="str">
        <f t="shared" si="2"/>
        <v>Average</v>
      </c>
    </row>
    <row r="6" spans="1:11" x14ac:dyDescent="0.3">
      <c r="A6" s="1">
        <v>1005</v>
      </c>
      <c r="B6" s="1" t="s">
        <v>17</v>
      </c>
      <c r="C6" s="1" t="s">
        <v>8</v>
      </c>
      <c r="D6" s="1" t="s">
        <v>9</v>
      </c>
      <c r="E6" s="1">
        <v>76227</v>
      </c>
      <c r="F6" s="1">
        <v>7057</v>
      </c>
      <c r="G6" s="24">
        <v>5</v>
      </c>
      <c r="H6" s="1" t="str">
        <f t="shared" si="0"/>
        <v>Junior</v>
      </c>
      <c r="I6" s="1" t="str">
        <f t="shared" si="1"/>
        <v>Main</v>
      </c>
      <c r="J6" s="1" t="str" cm="1">
        <f t="array" ref="J6">_xlfn.IFS(E6&gt;60000,"High",E6&gt;40000, "Medium", E6&lt;40000,"low")</f>
        <v>High</v>
      </c>
      <c r="K6" s="1" t="str">
        <f t="shared" si="2"/>
        <v>Good</v>
      </c>
    </row>
    <row r="7" spans="1:11" x14ac:dyDescent="0.3">
      <c r="A7" s="1">
        <v>1006</v>
      </c>
      <c r="B7" s="1" t="s">
        <v>18</v>
      </c>
      <c r="C7" s="1" t="s">
        <v>11</v>
      </c>
      <c r="D7" s="1" t="s">
        <v>12</v>
      </c>
      <c r="E7" s="1">
        <v>67297</v>
      </c>
      <c r="F7" s="1">
        <v>8259</v>
      </c>
      <c r="G7" s="24">
        <v>8</v>
      </c>
      <c r="H7" s="1" t="str">
        <f t="shared" si="0"/>
        <v>Senior</v>
      </c>
      <c r="I7" s="1" t="str">
        <f t="shared" si="1"/>
        <v>Other</v>
      </c>
      <c r="J7" s="1" t="str" cm="1">
        <f t="array" ref="J7">_xlfn.IFS(E7&gt;60000,"High",E7&gt;40000, "Medium", E7&lt;40000,"low")</f>
        <v>High</v>
      </c>
      <c r="K7" s="1" t="str">
        <f t="shared" si="2"/>
        <v>Good</v>
      </c>
    </row>
    <row r="8" spans="1:11" x14ac:dyDescent="0.3">
      <c r="A8" s="1">
        <v>1007</v>
      </c>
      <c r="B8" s="1" t="s">
        <v>16</v>
      </c>
      <c r="C8" s="1" t="s">
        <v>19</v>
      </c>
      <c r="D8" s="1" t="s">
        <v>15</v>
      </c>
      <c r="E8" s="1">
        <v>29660</v>
      </c>
      <c r="F8" s="1">
        <v>2245</v>
      </c>
      <c r="G8" s="24">
        <v>9</v>
      </c>
      <c r="H8" s="1" t="str">
        <f t="shared" si="0"/>
        <v>Junior</v>
      </c>
      <c r="I8" s="1" t="str">
        <f t="shared" si="1"/>
        <v>Other</v>
      </c>
      <c r="J8" s="1" t="str" cm="1">
        <f t="array" ref="J8">_xlfn.IFS(E8&gt;60000,"High",E8&gt;40000, "Medium", E8&lt;40000,"low")</f>
        <v>low</v>
      </c>
      <c r="K8" s="1" t="str">
        <f t="shared" si="2"/>
        <v>Average</v>
      </c>
    </row>
    <row r="9" spans="1:11" x14ac:dyDescent="0.3">
      <c r="A9" s="1">
        <v>1008</v>
      </c>
      <c r="B9" s="1" t="s">
        <v>20</v>
      </c>
      <c r="C9" s="1" t="s">
        <v>14</v>
      </c>
      <c r="D9" s="1" t="s">
        <v>21</v>
      </c>
      <c r="E9" s="1">
        <v>44193</v>
      </c>
      <c r="F9" s="1">
        <v>3612</v>
      </c>
      <c r="G9" s="24">
        <v>8</v>
      </c>
      <c r="H9" s="1" t="str">
        <f t="shared" si="0"/>
        <v>Junior</v>
      </c>
      <c r="I9" s="1" t="str">
        <f t="shared" si="1"/>
        <v>Main</v>
      </c>
      <c r="J9" s="1" t="str" cm="1">
        <f t="array" ref="J9">_xlfn.IFS(E9&gt;60000,"High",E9&gt;40000, "Medium", E9&lt;40000,"low")</f>
        <v>Medium</v>
      </c>
      <c r="K9" s="1" t="str">
        <f t="shared" si="2"/>
        <v>Average</v>
      </c>
    </row>
    <row r="10" spans="1:11" x14ac:dyDescent="0.3">
      <c r="A10" s="1">
        <v>1009</v>
      </c>
      <c r="B10" s="1" t="s">
        <v>7</v>
      </c>
      <c r="C10" s="1" t="s">
        <v>19</v>
      </c>
      <c r="D10" s="1" t="s">
        <v>15</v>
      </c>
      <c r="E10" s="1">
        <v>58552</v>
      </c>
      <c r="F10" s="1">
        <v>7262</v>
      </c>
      <c r="G10" s="24">
        <v>5</v>
      </c>
      <c r="H10" s="1" t="str">
        <f t="shared" si="0"/>
        <v>Junior</v>
      </c>
      <c r="I10" s="1" t="str">
        <f t="shared" si="1"/>
        <v>Other</v>
      </c>
      <c r="J10" s="1" t="str" cm="1">
        <f t="array" ref="J10">_xlfn.IFS(E10&gt;60000,"High",E10&gt;40000, "Medium", E10&lt;40000,"low")</f>
        <v>Medium</v>
      </c>
      <c r="K10" s="1" t="str">
        <f t="shared" si="2"/>
        <v>Average</v>
      </c>
    </row>
    <row r="11" spans="1:11" x14ac:dyDescent="0.3">
      <c r="A11" s="1">
        <v>1010</v>
      </c>
      <c r="B11" s="1" t="s">
        <v>22</v>
      </c>
      <c r="C11" s="1" t="s">
        <v>19</v>
      </c>
      <c r="D11" s="1" t="s">
        <v>15</v>
      </c>
      <c r="E11" s="1">
        <v>67997</v>
      </c>
      <c r="F11" s="1">
        <v>1164</v>
      </c>
      <c r="G11" s="24">
        <v>4</v>
      </c>
      <c r="H11" s="1" t="str">
        <f t="shared" si="0"/>
        <v>Junior</v>
      </c>
      <c r="I11" s="1" t="str">
        <f t="shared" si="1"/>
        <v>Other</v>
      </c>
      <c r="J11" s="1" t="str" cm="1">
        <f t="array" ref="J11">_xlfn.IFS(E11&gt;60000,"High",E11&gt;40000, "Medium", E11&lt;40000,"low")</f>
        <v>High</v>
      </c>
      <c r="K11" s="1" t="str">
        <f t="shared" si="2"/>
        <v>Good</v>
      </c>
    </row>
    <row r="12" spans="1:11" x14ac:dyDescent="0.3">
      <c r="A12" s="1">
        <v>1011</v>
      </c>
      <c r="B12" s="1" t="s">
        <v>22</v>
      </c>
      <c r="C12" s="1" t="s">
        <v>8</v>
      </c>
      <c r="D12" s="1" t="s">
        <v>21</v>
      </c>
      <c r="E12" s="1">
        <v>26573</v>
      </c>
      <c r="F12" s="1">
        <v>5768</v>
      </c>
      <c r="G12" s="24">
        <v>4</v>
      </c>
      <c r="H12" s="1" t="str">
        <f t="shared" si="0"/>
        <v>Junior</v>
      </c>
      <c r="I12" s="1" t="str">
        <f t="shared" si="1"/>
        <v>Main</v>
      </c>
      <c r="J12" s="1" t="str" cm="1">
        <f t="array" ref="J12">_xlfn.IFS(E12&gt;60000,"High",E12&gt;40000, "Medium", E12&lt;40000,"low")</f>
        <v>low</v>
      </c>
      <c r="K12" s="1" t="str">
        <f t="shared" si="2"/>
        <v>Average</v>
      </c>
    </row>
    <row r="13" spans="1:11" x14ac:dyDescent="0.3">
      <c r="A13" s="1">
        <v>1012</v>
      </c>
      <c r="B13" s="1" t="s">
        <v>23</v>
      </c>
      <c r="C13" s="1" t="s">
        <v>8</v>
      </c>
      <c r="D13" s="1" t="s">
        <v>15</v>
      </c>
      <c r="E13" s="1">
        <v>70449</v>
      </c>
      <c r="F13" s="1">
        <v>8386</v>
      </c>
      <c r="G13" s="24">
        <v>8</v>
      </c>
      <c r="H13" s="1" t="str">
        <f t="shared" si="0"/>
        <v>Senior</v>
      </c>
      <c r="I13" s="1" t="str">
        <f t="shared" si="1"/>
        <v>Other</v>
      </c>
      <c r="J13" s="1" t="str" cm="1">
        <f t="array" ref="J13">_xlfn.IFS(E13&gt;60000,"High",E13&gt;40000, "Medium", E13&lt;40000,"low")</f>
        <v>High</v>
      </c>
      <c r="K13" s="1" t="str">
        <f t="shared" si="2"/>
        <v>Good</v>
      </c>
    </row>
    <row r="14" spans="1:11" x14ac:dyDescent="0.3">
      <c r="A14" s="1">
        <v>1013</v>
      </c>
      <c r="B14" s="1" t="s">
        <v>24</v>
      </c>
      <c r="C14" s="1" t="s">
        <v>11</v>
      </c>
      <c r="D14" s="1" t="s">
        <v>15</v>
      </c>
      <c r="E14" s="1">
        <v>76305</v>
      </c>
      <c r="F14" s="1">
        <v>4910</v>
      </c>
      <c r="G14" s="24">
        <v>1</v>
      </c>
      <c r="H14" s="1" t="str">
        <f t="shared" si="0"/>
        <v>Junior</v>
      </c>
      <c r="I14" s="1" t="str">
        <f t="shared" si="1"/>
        <v>Other</v>
      </c>
      <c r="J14" s="1" t="str" cm="1">
        <f t="array" ref="J14">_xlfn.IFS(E14&gt;60000,"High",E14&gt;40000, "Medium", E14&lt;40000,"low")</f>
        <v>High</v>
      </c>
      <c r="K14" s="1" t="str">
        <f t="shared" si="2"/>
        <v>Good</v>
      </c>
    </row>
    <row r="15" spans="1:11" x14ac:dyDescent="0.3">
      <c r="A15" s="1">
        <v>1014</v>
      </c>
      <c r="B15" s="1" t="s">
        <v>25</v>
      </c>
      <c r="C15" s="1" t="s">
        <v>8</v>
      </c>
      <c r="D15" s="1" t="s">
        <v>12</v>
      </c>
      <c r="E15" s="1">
        <v>75837</v>
      </c>
      <c r="F15" s="1">
        <v>3707</v>
      </c>
      <c r="G15" s="24">
        <v>4</v>
      </c>
      <c r="H15" s="1" t="str">
        <f t="shared" si="0"/>
        <v>Junior</v>
      </c>
      <c r="I15" s="1" t="str">
        <f t="shared" si="1"/>
        <v>Other</v>
      </c>
      <c r="J15" s="1" t="str" cm="1">
        <f t="array" ref="J15">_xlfn.IFS(E15&gt;60000,"High",E15&gt;40000, "Medium", E15&lt;40000,"low")</f>
        <v>High</v>
      </c>
      <c r="K15" s="1" t="str">
        <f t="shared" si="2"/>
        <v>Average</v>
      </c>
    </row>
    <row r="16" spans="1:11" x14ac:dyDescent="0.3">
      <c r="A16" s="1">
        <v>1015</v>
      </c>
      <c r="B16" s="1" t="s">
        <v>26</v>
      </c>
      <c r="C16" s="1" t="s">
        <v>8</v>
      </c>
      <c r="D16" s="1" t="s">
        <v>15</v>
      </c>
      <c r="E16" s="1">
        <v>37399</v>
      </c>
      <c r="F16" s="1">
        <v>7673</v>
      </c>
      <c r="G16" s="24">
        <v>8</v>
      </c>
      <c r="H16" s="1" t="str">
        <f t="shared" si="0"/>
        <v>Junior</v>
      </c>
      <c r="I16" s="1" t="str">
        <f t="shared" si="1"/>
        <v>Other</v>
      </c>
      <c r="J16" s="1" t="str" cm="1">
        <f t="array" ref="J16">_xlfn.IFS(E16&gt;60000,"High",E16&gt;40000, "Medium", E16&lt;40000,"low")</f>
        <v>low</v>
      </c>
      <c r="K16" s="1" t="str">
        <f t="shared" si="2"/>
        <v>Average</v>
      </c>
    </row>
    <row r="17" spans="1:11" x14ac:dyDescent="0.3">
      <c r="A17" s="1">
        <v>1016</v>
      </c>
      <c r="B17" s="1" t="s">
        <v>27</v>
      </c>
      <c r="C17" s="1" t="s">
        <v>19</v>
      </c>
      <c r="D17" s="1" t="s">
        <v>15</v>
      </c>
      <c r="E17" s="1">
        <v>36079</v>
      </c>
      <c r="F17" s="1">
        <v>1227</v>
      </c>
      <c r="G17" s="24">
        <v>9</v>
      </c>
      <c r="H17" s="1" t="str">
        <f t="shared" si="0"/>
        <v>Junior</v>
      </c>
      <c r="I17" s="1" t="str">
        <f t="shared" si="1"/>
        <v>Other</v>
      </c>
      <c r="J17" s="1" t="str" cm="1">
        <f t="array" ref="J17">_xlfn.IFS(E17&gt;60000,"High",E17&gt;40000, "Medium", E17&lt;40000,"low")</f>
        <v>low</v>
      </c>
      <c r="K17" s="1" t="str">
        <f t="shared" si="2"/>
        <v>Average</v>
      </c>
    </row>
    <row r="18" spans="1:11" x14ac:dyDescent="0.3">
      <c r="A18" s="1">
        <v>1017</v>
      </c>
      <c r="B18" s="1" t="s">
        <v>22</v>
      </c>
      <c r="C18" s="1" t="s">
        <v>11</v>
      </c>
      <c r="D18" s="1" t="s">
        <v>21</v>
      </c>
      <c r="E18" s="1">
        <v>56682</v>
      </c>
      <c r="F18" s="1">
        <v>1665</v>
      </c>
      <c r="G18" s="24">
        <v>1</v>
      </c>
      <c r="H18" s="1" t="str">
        <f t="shared" si="0"/>
        <v>Junior</v>
      </c>
      <c r="I18" s="1" t="str">
        <f t="shared" si="1"/>
        <v>Main</v>
      </c>
      <c r="J18" s="1" t="str" cm="1">
        <f t="array" ref="J18">_xlfn.IFS(E18&gt;60000,"High",E18&gt;40000, "Medium", E18&lt;40000,"low")</f>
        <v>Medium</v>
      </c>
      <c r="K18" s="1" t="str">
        <f t="shared" si="2"/>
        <v>Average</v>
      </c>
    </row>
    <row r="19" spans="1:11" x14ac:dyDescent="0.3">
      <c r="A19" s="1">
        <v>1018</v>
      </c>
      <c r="B19" s="1" t="s">
        <v>23</v>
      </c>
      <c r="C19" s="1" t="s">
        <v>11</v>
      </c>
      <c r="D19" s="1" t="s">
        <v>12</v>
      </c>
      <c r="E19" s="1">
        <v>74829</v>
      </c>
      <c r="F19" s="1">
        <v>9249</v>
      </c>
      <c r="G19" s="24">
        <v>9</v>
      </c>
      <c r="H19" s="1" t="str">
        <f t="shared" si="0"/>
        <v>Senior</v>
      </c>
      <c r="I19" s="1" t="str">
        <f t="shared" si="1"/>
        <v>Other</v>
      </c>
      <c r="J19" s="1" t="str" cm="1">
        <f t="array" ref="J19">_xlfn.IFS(E19&gt;60000,"High",E19&gt;40000, "Medium", E19&lt;40000,"low")</f>
        <v>High</v>
      </c>
      <c r="K19" s="1" t="str">
        <f t="shared" si="2"/>
        <v>Average</v>
      </c>
    </row>
    <row r="20" spans="1:11" x14ac:dyDescent="0.3">
      <c r="A20" s="1">
        <v>1019</v>
      </c>
      <c r="B20" s="1" t="s">
        <v>10</v>
      </c>
      <c r="C20" s="1" t="s">
        <v>11</v>
      </c>
      <c r="D20" s="1" t="s">
        <v>9</v>
      </c>
      <c r="E20" s="1">
        <v>37095</v>
      </c>
      <c r="F20" s="1">
        <v>4694</v>
      </c>
      <c r="G20" s="24">
        <v>9</v>
      </c>
      <c r="H20" s="1" t="str">
        <f t="shared" si="0"/>
        <v>Junior</v>
      </c>
      <c r="I20" s="1" t="str">
        <f t="shared" si="1"/>
        <v>Main</v>
      </c>
      <c r="J20" s="1" t="str" cm="1">
        <f t="array" ref="J20">_xlfn.IFS(E20&gt;60000,"High",E20&gt;40000, "Medium", E20&lt;40000,"low")</f>
        <v>low</v>
      </c>
      <c r="K20" s="1" t="str">
        <f t="shared" si="2"/>
        <v>Average</v>
      </c>
    </row>
    <row r="21" spans="1:11" x14ac:dyDescent="0.3">
      <c r="A21" s="1">
        <v>1020</v>
      </c>
      <c r="B21" s="1" t="s">
        <v>13</v>
      </c>
      <c r="C21" s="1" t="s">
        <v>14</v>
      </c>
      <c r="D21" s="1" t="s">
        <v>15</v>
      </c>
      <c r="E21" s="1">
        <v>57259</v>
      </c>
      <c r="F21" s="1">
        <v>4414</v>
      </c>
      <c r="G21" s="24">
        <v>1</v>
      </c>
      <c r="H21" s="1" t="str">
        <f t="shared" si="0"/>
        <v>Junior</v>
      </c>
      <c r="I21" s="1" t="str">
        <f t="shared" si="1"/>
        <v>Other</v>
      </c>
      <c r="J21" s="1" t="str" cm="1">
        <f t="array" ref="J21">_xlfn.IFS(E21&gt;60000,"High",E21&gt;40000, "Medium", E21&lt;40000,"low")</f>
        <v>Medium</v>
      </c>
      <c r="K21" s="1" t="str">
        <f t="shared" si="2"/>
        <v>Average</v>
      </c>
    </row>
    <row r="22" spans="1:11" x14ac:dyDescent="0.3">
      <c r="A22" s="1">
        <v>1021</v>
      </c>
      <c r="B22" s="1" t="s">
        <v>23</v>
      </c>
      <c r="C22" s="1" t="s">
        <v>19</v>
      </c>
      <c r="D22" s="1" t="s">
        <v>15</v>
      </c>
      <c r="E22" s="1">
        <v>72209</v>
      </c>
      <c r="F22" s="1">
        <v>4448</v>
      </c>
      <c r="G22" s="24">
        <v>9</v>
      </c>
      <c r="H22" s="1" t="str">
        <f t="shared" si="0"/>
        <v>Senior</v>
      </c>
      <c r="I22" s="1" t="str">
        <f t="shared" si="1"/>
        <v>Other</v>
      </c>
      <c r="J22" s="1" t="str" cm="1">
        <f t="array" ref="J22">_xlfn.IFS(E22&gt;60000,"High",E22&gt;40000, "Medium", E22&lt;40000,"low")</f>
        <v>High</v>
      </c>
      <c r="K22" s="1" t="str">
        <f t="shared" si="2"/>
        <v>Average</v>
      </c>
    </row>
    <row r="23" spans="1:11" x14ac:dyDescent="0.3">
      <c r="A23" s="1">
        <v>1022</v>
      </c>
      <c r="B23" s="1" t="s">
        <v>16</v>
      </c>
      <c r="C23" s="1" t="s">
        <v>19</v>
      </c>
      <c r="D23" s="1" t="s">
        <v>15</v>
      </c>
      <c r="E23" s="1">
        <v>38806</v>
      </c>
      <c r="F23" s="1">
        <v>9151</v>
      </c>
      <c r="G23" s="24">
        <v>9</v>
      </c>
      <c r="H23" s="1" t="str">
        <f t="shared" si="0"/>
        <v>Junior</v>
      </c>
      <c r="I23" s="1" t="str">
        <f t="shared" si="1"/>
        <v>Other</v>
      </c>
      <c r="J23" s="1" t="str" cm="1">
        <f t="array" ref="J23">_xlfn.IFS(E23&gt;60000,"High",E23&gt;40000, "Medium", E23&lt;40000,"low")</f>
        <v>low</v>
      </c>
      <c r="K23" s="1" t="str">
        <f t="shared" si="2"/>
        <v>Average</v>
      </c>
    </row>
    <row r="24" spans="1:11" x14ac:dyDescent="0.3">
      <c r="A24" s="1">
        <v>1023</v>
      </c>
      <c r="B24" s="1" t="s">
        <v>20</v>
      </c>
      <c r="C24" s="1" t="s">
        <v>8</v>
      </c>
      <c r="D24" s="1" t="s">
        <v>15</v>
      </c>
      <c r="E24" s="1">
        <v>54451</v>
      </c>
      <c r="F24" s="1">
        <v>8106</v>
      </c>
      <c r="G24" s="24">
        <v>4</v>
      </c>
      <c r="H24" s="1" t="str">
        <f t="shared" si="0"/>
        <v>Junior</v>
      </c>
      <c r="I24" s="1" t="str">
        <f t="shared" si="1"/>
        <v>Other</v>
      </c>
      <c r="J24" s="1" t="str" cm="1">
        <f t="array" ref="J24">_xlfn.IFS(E24&gt;60000,"High",E24&gt;40000, "Medium", E24&lt;40000,"low")</f>
        <v>Medium</v>
      </c>
      <c r="K24" s="1" t="str">
        <f t="shared" si="2"/>
        <v>Good</v>
      </c>
    </row>
    <row r="25" spans="1:11" x14ac:dyDescent="0.3">
      <c r="A25" s="1">
        <v>1024</v>
      </c>
      <c r="B25" s="1" t="s">
        <v>7</v>
      </c>
      <c r="C25" s="1" t="s">
        <v>8</v>
      </c>
      <c r="D25" s="1" t="s">
        <v>9</v>
      </c>
      <c r="E25" s="1">
        <v>20303</v>
      </c>
      <c r="F25" s="1">
        <v>6264</v>
      </c>
      <c r="G25" s="24">
        <v>4</v>
      </c>
      <c r="H25" s="1" t="str">
        <f t="shared" si="0"/>
        <v>Junior</v>
      </c>
      <c r="I25" s="1" t="str">
        <f t="shared" si="1"/>
        <v>Main</v>
      </c>
      <c r="J25" s="1" t="str" cm="1">
        <f t="array" ref="J25">_xlfn.IFS(E25&gt;60000,"High",E25&gt;40000, "Medium", E25&lt;40000,"low")</f>
        <v>low</v>
      </c>
      <c r="K25" s="1" t="str">
        <f t="shared" si="2"/>
        <v>Average</v>
      </c>
    </row>
    <row r="26" spans="1:11" x14ac:dyDescent="0.3">
      <c r="A26" s="1">
        <v>1025</v>
      </c>
      <c r="B26" s="1" t="s">
        <v>27</v>
      </c>
      <c r="C26" s="1" t="s">
        <v>19</v>
      </c>
      <c r="D26" s="1" t="s">
        <v>9</v>
      </c>
      <c r="E26" s="1">
        <v>79600</v>
      </c>
      <c r="F26" s="1">
        <v>4813</v>
      </c>
      <c r="G26" s="24">
        <v>7</v>
      </c>
      <c r="H26" s="1" t="str">
        <f t="shared" si="0"/>
        <v>Senior</v>
      </c>
      <c r="I26" s="1" t="str">
        <f t="shared" si="1"/>
        <v>Main</v>
      </c>
      <c r="J26" s="1" t="str" cm="1">
        <f t="array" ref="J26">_xlfn.IFS(E26&gt;60000,"High",E26&gt;40000, "Medium", E26&lt;40000,"low")</f>
        <v>High</v>
      </c>
      <c r="K26" s="1" t="str">
        <f t="shared" si="2"/>
        <v>Good</v>
      </c>
    </row>
    <row r="27" spans="1:11" x14ac:dyDescent="0.3">
      <c r="A27" s="1">
        <v>1026</v>
      </c>
      <c r="B27" s="1" t="s">
        <v>20</v>
      </c>
      <c r="C27" s="1" t="s">
        <v>19</v>
      </c>
      <c r="D27" s="1" t="s">
        <v>12</v>
      </c>
      <c r="E27" s="1">
        <v>75805</v>
      </c>
      <c r="F27" s="1">
        <v>6871</v>
      </c>
      <c r="G27" s="24">
        <v>8</v>
      </c>
      <c r="H27" s="1" t="str">
        <f t="shared" si="0"/>
        <v>Senior</v>
      </c>
      <c r="I27" s="1" t="str">
        <f t="shared" si="1"/>
        <v>Other</v>
      </c>
      <c r="J27" s="1" t="str" cm="1">
        <f t="array" ref="J27">_xlfn.IFS(E27&gt;60000,"High",E27&gt;40000, "Medium", E27&lt;40000,"low")</f>
        <v>High</v>
      </c>
      <c r="K27" s="1" t="str">
        <f t="shared" si="2"/>
        <v>Average</v>
      </c>
    </row>
    <row r="28" spans="1:11" x14ac:dyDescent="0.3">
      <c r="A28" s="1">
        <v>1027</v>
      </c>
      <c r="B28" s="1" t="s">
        <v>18</v>
      </c>
      <c r="C28" s="1" t="s">
        <v>14</v>
      </c>
      <c r="D28" s="1" t="s">
        <v>9</v>
      </c>
      <c r="E28" s="1">
        <v>22801</v>
      </c>
      <c r="F28" s="1">
        <v>1462</v>
      </c>
      <c r="G28" s="24">
        <v>10</v>
      </c>
      <c r="H28" s="1" t="str">
        <f t="shared" si="0"/>
        <v>Junior</v>
      </c>
      <c r="I28" s="1" t="str">
        <f t="shared" si="1"/>
        <v>Main</v>
      </c>
      <c r="J28" s="1" t="str" cm="1">
        <f t="array" ref="J28">_xlfn.IFS(E28&gt;60000,"High",E28&gt;40000, "Medium", E28&lt;40000,"low")</f>
        <v>low</v>
      </c>
      <c r="K28" s="1" t="str">
        <f t="shared" si="2"/>
        <v>Average</v>
      </c>
    </row>
    <row r="29" spans="1:11" x14ac:dyDescent="0.3">
      <c r="A29" s="1">
        <v>1028</v>
      </c>
      <c r="B29" s="1" t="s">
        <v>28</v>
      </c>
      <c r="C29" s="1" t="s">
        <v>19</v>
      </c>
      <c r="D29" s="1" t="s">
        <v>21</v>
      </c>
      <c r="E29" s="1">
        <v>54435</v>
      </c>
      <c r="F29" s="1">
        <v>5063</v>
      </c>
      <c r="G29" s="24">
        <v>6</v>
      </c>
      <c r="H29" s="1" t="str">
        <f t="shared" si="0"/>
        <v>Senior</v>
      </c>
      <c r="I29" s="1" t="str">
        <f t="shared" si="1"/>
        <v>Main</v>
      </c>
      <c r="J29" s="1" t="str" cm="1">
        <f t="array" ref="J29">_xlfn.IFS(E29&gt;60000,"High",E29&gt;40000, "Medium", E29&lt;40000,"low")</f>
        <v>Medium</v>
      </c>
      <c r="K29" s="1" t="str">
        <f t="shared" si="2"/>
        <v>Average</v>
      </c>
    </row>
    <row r="30" spans="1:11" x14ac:dyDescent="0.3">
      <c r="A30" s="1">
        <v>1029</v>
      </c>
      <c r="B30" s="1" t="s">
        <v>29</v>
      </c>
      <c r="C30" s="1" t="s">
        <v>11</v>
      </c>
      <c r="D30" s="1" t="s">
        <v>21</v>
      </c>
      <c r="E30" s="1">
        <v>77655</v>
      </c>
      <c r="F30" s="1">
        <v>3552</v>
      </c>
      <c r="G30" s="24">
        <v>7</v>
      </c>
      <c r="H30" s="1" t="str">
        <f t="shared" si="0"/>
        <v>Senior</v>
      </c>
      <c r="I30" s="1" t="str">
        <f t="shared" si="1"/>
        <v>Main</v>
      </c>
      <c r="J30" s="1" t="str" cm="1">
        <f t="array" ref="J30">_xlfn.IFS(E30&gt;60000,"High",E30&gt;40000, "Medium", E30&lt;40000,"low")</f>
        <v>High</v>
      </c>
      <c r="K30" s="1" t="str">
        <f t="shared" si="2"/>
        <v>Good</v>
      </c>
    </row>
    <row r="31" spans="1:11" x14ac:dyDescent="0.3">
      <c r="A31" s="1">
        <v>1030</v>
      </c>
      <c r="B31" s="1" t="s">
        <v>26</v>
      </c>
      <c r="C31" s="1" t="s">
        <v>19</v>
      </c>
      <c r="D31" s="1" t="s">
        <v>21</v>
      </c>
      <c r="E31" s="1">
        <v>61880</v>
      </c>
      <c r="F31" s="1">
        <v>1131</v>
      </c>
      <c r="G31" s="24">
        <v>8</v>
      </c>
      <c r="H31" s="1" t="str">
        <f t="shared" si="0"/>
        <v>Senior</v>
      </c>
      <c r="I31" s="1" t="str">
        <f t="shared" si="1"/>
        <v>Main</v>
      </c>
      <c r="J31" s="1" t="str" cm="1">
        <f t="array" ref="J31">_xlfn.IFS(E31&gt;60000,"High",E31&gt;40000, "Medium", E31&lt;40000,"low")</f>
        <v>High</v>
      </c>
      <c r="K31" s="1" t="str">
        <f t="shared" si="2"/>
        <v>Average</v>
      </c>
    </row>
    <row r="32" spans="1:11" x14ac:dyDescent="0.3">
      <c r="A32" s="1">
        <v>1031</v>
      </c>
      <c r="B32" s="1" t="s">
        <v>28</v>
      </c>
      <c r="C32" s="1" t="s">
        <v>19</v>
      </c>
      <c r="D32" s="1" t="s">
        <v>21</v>
      </c>
      <c r="E32" s="1">
        <v>61681</v>
      </c>
      <c r="F32" s="1">
        <v>2759</v>
      </c>
      <c r="G32" s="24">
        <v>4</v>
      </c>
      <c r="H32" s="1" t="str">
        <f t="shared" si="0"/>
        <v>Junior</v>
      </c>
      <c r="I32" s="1" t="str">
        <f t="shared" si="1"/>
        <v>Main</v>
      </c>
      <c r="J32" s="1" t="str" cm="1">
        <f t="array" ref="J32">_xlfn.IFS(E32&gt;60000,"High",E32&gt;40000, "Medium", E32&lt;40000,"low")</f>
        <v>High</v>
      </c>
      <c r="K32" s="1" t="str">
        <f t="shared" si="2"/>
        <v>Average</v>
      </c>
    </row>
    <row r="33" spans="1:11" x14ac:dyDescent="0.3">
      <c r="A33" s="1">
        <v>1032</v>
      </c>
      <c r="B33" s="1" t="s">
        <v>27</v>
      </c>
      <c r="C33" s="1" t="s">
        <v>19</v>
      </c>
      <c r="D33" s="1" t="s">
        <v>9</v>
      </c>
      <c r="E33" s="1">
        <v>65308</v>
      </c>
      <c r="F33" s="1">
        <v>4849</v>
      </c>
      <c r="G33" s="24">
        <v>10</v>
      </c>
      <c r="H33" s="1" t="str">
        <f t="shared" si="0"/>
        <v>Senior</v>
      </c>
      <c r="I33" s="1" t="str">
        <f t="shared" si="1"/>
        <v>Main</v>
      </c>
      <c r="J33" s="1" t="str" cm="1">
        <f t="array" ref="J33">_xlfn.IFS(E33&gt;60000,"High",E33&gt;40000, "Medium", E33&lt;40000,"low")</f>
        <v>High</v>
      </c>
      <c r="K33" s="1" t="str">
        <f t="shared" si="2"/>
        <v>Average</v>
      </c>
    </row>
    <row r="34" spans="1:11" x14ac:dyDescent="0.3">
      <c r="A34" s="1">
        <v>1033</v>
      </c>
      <c r="B34" s="1" t="s">
        <v>23</v>
      </c>
      <c r="C34" s="1" t="s">
        <v>19</v>
      </c>
      <c r="D34" s="1" t="s">
        <v>21</v>
      </c>
      <c r="E34" s="1">
        <v>73630</v>
      </c>
      <c r="F34" s="1">
        <v>2677</v>
      </c>
      <c r="G34" s="24">
        <v>7</v>
      </c>
      <c r="H34" s="1" t="str">
        <f t="shared" si="0"/>
        <v>Senior</v>
      </c>
      <c r="I34" s="1" t="str">
        <f t="shared" si="1"/>
        <v>Main</v>
      </c>
      <c r="J34" s="1" t="str" cm="1">
        <f t="array" ref="J34">_xlfn.IFS(E34&gt;60000,"High",E34&gt;40000, "Medium", E34&lt;40000,"low")</f>
        <v>High</v>
      </c>
      <c r="K34" s="1" t="str">
        <f t="shared" si="2"/>
        <v>Average</v>
      </c>
    </row>
    <row r="35" spans="1:11" x14ac:dyDescent="0.3">
      <c r="A35" s="1">
        <v>1034</v>
      </c>
      <c r="B35" s="1" t="s">
        <v>27</v>
      </c>
      <c r="C35" s="1" t="s">
        <v>14</v>
      </c>
      <c r="D35" s="1" t="s">
        <v>15</v>
      </c>
      <c r="E35" s="1">
        <v>72125</v>
      </c>
      <c r="F35" s="1">
        <v>5374</v>
      </c>
      <c r="G35" s="24">
        <v>10</v>
      </c>
      <c r="H35" s="1" t="str">
        <f t="shared" si="0"/>
        <v>Senior</v>
      </c>
      <c r="I35" s="1" t="str">
        <f t="shared" si="1"/>
        <v>Other</v>
      </c>
      <c r="J35" s="1" t="str" cm="1">
        <f t="array" ref="J35">_xlfn.IFS(E35&gt;60000,"High",E35&gt;40000, "Medium", E35&lt;40000,"low")</f>
        <v>High</v>
      </c>
      <c r="K35" s="1" t="str">
        <f t="shared" si="2"/>
        <v>Average</v>
      </c>
    </row>
    <row r="36" spans="1:11" x14ac:dyDescent="0.3">
      <c r="A36" s="1">
        <v>1035</v>
      </c>
      <c r="B36" s="1" t="s">
        <v>16</v>
      </c>
      <c r="C36" s="1" t="s">
        <v>19</v>
      </c>
      <c r="D36" s="1" t="s">
        <v>9</v>
      </c>
      <c r="E36" s="1">
        <v>60544</v>
      </c>
      <c r="F36" s="1">
        <v>7787</v>
      </c>
      <c r="G36" s="24">
        <v>8</v>
      </c>
      <c r="H36" s="1" t="str">
        <f t="shared" si="0"/>
        <v>Senior</v>
      </c>
      <c r="I36" s="1" t="str">
        <f t="shared" si="1"/>
        <v>Main</v>
      </c>
      <c r="J36" s="1" t="str" cm="1">
        <f t="array" ref="J36">_xlfn.IFS(E36&gt;60000,"High",E36&gt;40000, "Medium", E36&lt;40000,"low")</f>
        <v>High</v>
      </c>
      <c r="K36" s="1" t="str">
        <f t="shared" si="2"/>
        <v>Good</v>
      </c>
    </row>
    <row r="37" spans="1:11" x14ac:dyDescent="0.3">
      <c r="A37" s="1">
        <v>1036</v>
      </c>
      <c r="B37" s="1" t="s">
        <v>23</v>
      </c>
      <c r="C37" s="1" t="s">
        <v>19</v>
      </c>
      <c r="D37" s="1" t="s">
        <v>15</v>
      </c>
      <c r="E37" s="1">
        <v>59688</v>
      </c>
      <c r="F37" s="1">
        <v>3028</v>
      </c>
      <c r="G37" s="24">
        <v>10</v>
      </c>
      <c r="H37" s="1" t="str">
        <f t="shared" si="0"/>
        <v>Senior</v>
      </c>
      <c r="I37" s="1" t="str">
        <f t="shared" si="1"/>
        <v>Other</v>
      </c>
      <c r="J37" s="1" t="str" cm="1">
        <f t="array" ref="J37">_xlfn.IFS(E37&gt;60000,"High",E37&gt;40000, "Medium", E37&lt;40000,"low")</f>
        <v>Medium</v>
      </c>
      <c r="K37" s="1" t="str">
        <f t="shared" si="2"/>
        <v>Good</v>
      </c>
    </row>
    <row r="38" spans="1:11" x14ac:dyDescent="0.3">
      <c r="A38" s="1">
        <v>1037</v>
      </c>
      <c r="B38" s="1" t="s">
        <v>20</v>
      </c>
      <c r="C38" s="1" t="s">
        <v>8</v>
      </c>
      <c r="D38" s="1" t="s">
        <v>9</v>
      </c>
      <c r="E38" s="1">
        <v>66548</v>
      </c>
      <c r="F38" s="1">
        <v>9254</v>
      </c>
      <c r="G38" s="24">
        <v>6</v>
      </c>
      <c r="H38" s="1" t="str">
        <f t="shared" si="0"/>
        <v>Senior</v>
      </c>
      <c r="I38" s="1" t="str">
        <f t="shared" si="1"/>
        <v>Main</v>
      </c>
      <c r="J38" s="1" t="str" cm="1">
        <f t="array" ref="J38">_xlfn.IFS(E38&gt;60000,"High",E38&gt;40000, "Medium", E38&lt;40000,"low")</f>
        <v>High</v>
      </c>
      <c r="K38" s="1" t="str">
        <f t="shared" si="2"/>
        <v>Average</v>
      </c>
    </row>
    <row r="39" spans="1:11" x14ac:dyDescent="0.3">
      <c r="A39" s="1">
        <v>1038</v>
      </c>
      <c r="B39" s="1" t="s">
        <v>25</v>
      </c>
      <c r="C39" s="1" t="s">
        <v>11</v>
      </c>
      <c r="D39" s="1" t="s">
        <v>21</v>
      </c>
      <c r="E39" s="1">
        <v>63661</v>
      </c>
      <c r="F39" s="1">
        <v>4084</v>
      </c>
      <c r="G39" s="24">
        <v>7</v>
      </c>
      <c r="H39" s="1" t="str">
        <f t="shared" si="0"/>
        <v>Senior</v>
      </c>
      <c r="I39" s="1" t="str">
        <f t="shared" si="1"/>
        <v>Main</v>
      </c>
      <c r="J39" s="1" t="str" cm="1">
        <f t="array" ref="J39">_xlfn.IFS(E39&gt;60000,"High",E39&gt;40000, "Medium", E39&lt;40000,"low")</f>
        <v>High</v>
      </c>
      <c r="K39" s="1" t="str">
        <f t="shared" si="2"/>
        <v>Good</v>
      </c>
    </row>
    <row r="40" spans="1:11" x14ac:dyDescent="0.3">
      <c r="A40" s="1">
        <v>1039</v>
      </c>
      <c r="B40" s="1" t="s">
        <v>10</v>
      </c>
      <c r="C40" s="1" t="s">
        <v>14</v>
      </c>
      <c r="D40" s="1" t="s">
        <v>12</v>
      </c>
      <c r="E40" s="1">
        <v>22824</v>
      </c>
      <c r="F40" s="1">
        <v>1476</v>
      </c>
      <c r="G40" s="24">
        <v>1</v>
      </c>
      <c r="H40" s="1" t="str">
        <f t="shared" si="0"/>
        <v>Junior</v>
      </c>
      <c r="I40" s="1" t="str">
        <f t="shared" si="1"/>
        <v>Other</v>
      </c>
      <c r="J40" s="1" t="str" cm="1">
        <f t="array" ref="J40">_xlfn.IFS(E40&gt;60000,"High",E40&gt;40000, "Medium", E40&lt;40000,"low")</f>
        <v>low</v>
      </c>
      <c r="K40" s="1" t="str">
        <f t="shared" si="2"/>
        <v>Average</v>
      </c>
    </row>
    <row r="41" spans="1:11" x14ac:dyDescent="0.3">
      <c r="A41" s="1">
        <v>1040</v>
      </c>
      <c r="B41" s="1" t="s">
        <v>29</v>
      </c>
      <c r="C41" s="1" t="s">
        <v>14</v>
      </c>
      <c r="D41" s="1" t="s">
        <v>15</v>
      </c>
      <c r="E41" s="1">
        <v>33132</v>
      </c>
      <c r="F41" s="1">
        <v>8684</v>
      </c>
      <c r="G41" s="24">
        <v>9</v>
      </c>
      <c r="H41" s="1" t="str">
        <f t="shared" si="0"/>
        <v>Junior</v>
      </c>
      <c r="I41" s="1" t="str">
        <f t="shared" si="1"/>
        <v>Other</v>
      </c>
      <c r="J41" s="1" t="str" cm="1">
        <f t="array" ref="J41">_xlfn.IFS(E41&gt;60000,"High",E41&gt;40000, "Medium", E41&lt;40000,"low")</f>
        <v>low</v>
      </c>
      <c r="K41" s="1" t="str">
        <f t="shared" si="2"/>
        <v>Average</v>
      </c>
    </row>
    <row r="42" spans="1:11" x14ac:dyDescent="0.3">
      <c r="A42" s="1">
        <v>1041</v>
      </c>
      <c r="B42" s="1" t="s">
        <v>10</v>
      </c>
      <c r="C42" s="1" t="s">
        <v>8</v>
      </c>
      <c r="D42" s="1" t="s">
        <v>15</v>
      </c>
      <c r="E42" s="1">
        <v>26847</v>
      </c>
      <c r="F42" s="1">
        <v>8491</v>
      </c>
      <c r="G42" s="24">
        <v>2</v>
      </c>
      <c r="H42" s="1" t="str">
        <f t="shared" si="0"/>
        <v>Junior</v>
      </c>
      <c r="I42" s="1" t="str">
        <f t="shared" si="1"/>
        <v>Other</v>
      </c>
      <c r="J42" s="1" t="str" cm="1">
        <f t="array" ref="J42">_xlfn.IFS(E42&gt;60000,"High",E42&gt;40000, "Medium", E42&lt;40000,"low")</f>
        <v>low</v>
      </c>
      <c r="K42" s="1" t="str">
        <f t="shared" si="2"/>
        <v>Average</v>
      </c>
    </row>
    <row r="43" spans="1:11" x14ac:dyDescent="0.3">
      <c r="A43" s="1">
        <v>1042</v>
      </c>
      <c r="B43" s="1" t="s">
        <v>24</v>
      </c>
      <c r="C43" s="1" t="s">
        <v>8</v>
      </c>
      <c r="D43" s="1" t="s">
        <v>9</v>
      </c>
      <c r="E43" s="1">
        <v>28228</v>
      </c>
      <c r="F43" s="1">
        <v>2823</v>
      </c>
      <c r="G43" s="24">
        <v>2</v>
      </c>
      <c r="H43" s="1" t="str">
        <f t="shared" si="0"/>
        <v>Junior</v>
      </c>
      <c r="I43" s="1" t="str">
        <f t="shared" si="1"/>
        <v>Main</v>
      </c>
      <c r="J43" s="1" t="str" cm="1">
        <f t="array" ref="J43">_xlfn.IFS(E43&gt;60000,"High",E43&gt;40000, "Medium", E43&lt;40000,"low")</f>
        <v>low</v>
      </c>
      <c r="K43" s="1" t="str">
        <f t="shared" si="2"/>
        <v>Average</v>
      </c>
    </row>
    <row r="44" spans="1:11" x14ac:dyDescent="0.3">
      <c r="A44" s="1">
        <v>1043</v>
      </c>
      <c r="B44" s="1" t="s">
        <v>22</v>
      </c>
      <c r="C44" s="1" t="s">
        <v>8</v>
      </c>
      <c r="D44" s="1" t="s">
        <v>21</v>
      </c>
      <c r="E44" s="1">
        <v>58429</v>
      </c>
      <c r="F44" s="1">
        <v>5256</v>
      </c>
      <c r="G44" s="24">
        <v>5</v>
      </c>
      <c r="H44" s="1" t="str">
        <f t="shared" si="0"/>
        <v>Junior</v>
      </c>
      <c r="I44" s="1" t="str">
        <f t="shared" si="1"/>
        <v>Main</v>
      </c>
      <c r="J44" s="1" t="str" cm="1">
        <f t="array" ref="J44">_xlfn.IFS(E44&gt;60000,"High",E44&gt;40000, "Medium", E44&lt;40000,"low")</f>
        <v>Medium</v>
      </c>
      <c r="K44" s="1" t="str">
        <f t="shared" si="2"/>
        <v>Average</v>
      </c>
    </row>
    <row r="45" spans="1:11" x14ac:dyDescent="0.3">
      <c r="A45" s="1">
        <v>1044</v>
      </c>
      <c r="B45" s="1" t="s">
        <v>13</v>
      </c>
      <c r="C45" s="1" t="s">
        <v>19</v>
      </c>
      <c r="D45" s="1" t="s">
        <v>12</v>
      </c>
      <c r="E45" s="1">
        <v>51774</v>
      </c>
      <c r="F45" s="1">
        <v>2774</v>
      </c>
      <c r="G45" s="24">
        <v>8</v>
      </c>
      <c r="H45" s="1" t="str">
        <f t="shared" si="0"/>
        <v>Senior</v>
      </c>
      <c r="I45" s="1" t="str">
        <f t="shared" si="1"/>
        <v>Other</v>
      </c>
      <c r="J45" s="1" t="str" cm="1">
        <f t="array" ref="J45">_xlfn.IFS(E45&gt;60000,"High",E45&gt;40000, "Medium", E45&lt;40000,"low")</f>
        <v>Medium</v>
      </c>
      <c r="K45" s="1" t="str">
        <f t="shared" si="2"/>
        <v>Good</v>
      </c>
    </row>
    <row r="46" spans="1:11" x14ac:dyDescent="0.3">
      <c r="A46" s="1">
        <v>1045</v>
      </c>
      <c r="B46" s="1" t="s">
        <v>27</v>
      </c>
      <c r="C46" s="1" t="s">
        <v>19</v>
      </c>
      <c r="D46" s="1" t="s">
        <v>15</v>
      </c>
      <c r="E46" s="1">
        <v>52101</v>
      </c>
      <c r="F46" s="1">
        <v>4256</v>
      </c>
      <c r="G46" s="24">
        <v>9</v>
      </c>
      <c r="H46" s="1" t="str">
        <f t="shared" si="0"/>
        <v>Senior</v>
      </c>
      <c r="I46" s="1" t="str">
        <f t="shared" si="1"/>
        <v>Other</v>
      </c>
      <c r="J46" s="1" t="str" cm="1">
        <f t="array" ref="J46">_xlfn.IFS(E46&gt;60000,"High",E46&gt;40000, "Medium", E46&lt;40000,"low")</f>
        <v>Medium</v>
      </c>
      <c r="K46" s="1" t="str">
        <f t="shared" si="2"/>
        <v>Average</v>
      </c>
    </row>
    <row r="47" spans="1:11" x14ac:dyDescent="0.3">
      <c r="A47" s="1">
        <v>1046</v>
      </c>
      <c r="B47" s="1" t="s">
        <v>18</v>
      </c>
      <c r="C47" s="1" t="s">
        <v>8</v>
      </c>
      <c r="D47" s="1" t="s">
        <v>12</v>
      </c>
      <c r="E47" s="1">
        <v>51907</v>
      </c>
      <c r="F47" s="1">
        <v>9757</v>
      </c>
      <c r="G47" s="24">
        <v>8</v>
      </c>
      <c r="H47" s="1" t="str">
        <f t="shared" si="0"/>
        <v>Senior</v>
      </c>
      <c r="I47" s="1" t="str">
        <f t="shared" si="1"/>
        <v>Other</v>
      </c>
      <c r="J47" s="1" t="str" cm="1">
        <f t="array" ref="J47">_xlfn.IFS(E47&gt;60000,"High",E47&gt;40000, "Medium", E47&lt;40000,"low")</f>
        <v>Medium</v>
      </c>
      <c r="K47" s="1" t="str">
        <f t="shared" si="2"/>
        <v>Average</v>
      </c>
    </row>
    <row r="48" spans="1:11" x14ac:dyDescent="0.3">
      <c r="A48" s="1">
        <v>1047</v>
      </c>
      <c r="B48" s="1" t="s">
        <v>30</v>
      </c>
      <c r="C48" s="1" t="s">
        <v>8</v>
      </c>
      <c r="D48" s="1" t="s">
        <v>15</v>
      </c>
      <c r="E48" s="1">
        <v>71323</v>
      </c>
      <c r="F48" s="1">
        <v>3679</v>
      </c>
      <c r="G48" s="24">
        <v>5</v>
      </c>
      <c r="H48" s="1" t="str">
        <f t="shared" si="0"/>
        <v>Junior</v>
      </c>
      <c r="I48" s="1" t="str">
        <f t="shared" si="1"/>
        <v>Other</v>
      </c>
      <c r="J48" s="1" t="str" cm="1">
        <f t="array" ref="J48">_xlfn.IFS(E48&gt;60000,"High",E48&gt;40000, "Medium", E48&lt;40000,"low")</f>
        <v>High</v>
      </c>
      <c r="K48" s="1" t="str">
        <f t="shared" si="2"/>
        <v>Good</v>
      </c>
    </row>
    <row r="49" spans="1:11" x14ac:dyDescent="0.3">
      <c r="A49" s="1">
        <v>1048</v>
      </c>
      <c r="B49" s="1" t="s">
        <v>26</v>
      </c>
      <c r="C49" s="1" t="s">
        <v>19</v>
      </c>
      <c r="D49" s="1" t="s">
        <v>21</v>
      </c>
      <c r="E49" s="1">
        <v>27400</v>
      </c>
      <c r="F49" s="1">
        <v>8374</v>
      </c>
      <c r="G49" s="24">
        <v>1</v>
      </c>
      <c r="H49" s="1" t="str">
        <f t="shared" si="0"/>
        <v>Junior</v>
      </c>
      <c r="I49" s="1" t="str">
        <f t="shared" si="1"/>
        <v>Main</v>
      </c>
      <c r="J49" s="1" t="str" cm="1">
        <f t="array" ref="J49">_xlfn.IFS(E49&gt;60000,"High",E49&gt;40000, "Medium", E49&lt;40000,"low")</f>
        <v>low</v>
      </c>
      <c r="K49" s="1" t="str">
        <f t="shared" si="2"/>
        <v>Average</v>
      </c>
    </row>
    <row r="50" spans="1:11" x14ac:dyDescent="0.3">
      <c r="A50" s="1">
        <v>1049</v>
      </c>
      <c r="B50" s="1" t="s">
        <v>22</v>
      </c>
      <c r="C50" s="1" t="s">
        <v>14</v>
      </c>
      <c r="D50" s="1" t="s">
        <v>15</v>
      </c>
      <c r="E50" s="1">
        <v>58265</v>
      </c>
      <c r="F50" s="1">
        <v>7588</v>
      </c>
      <c r="G50" s="24">
        <v>9</v>
      </c>
      <c r="H50" s="1" t="str">
        <f t="shared" si="0"/>
        <v>Senior</v>
      </c>
      <c r="I50" s="1" t="str">
        <f t="shared" si="1"/>
        <v>Other</v>
      </c>
      <c r="J50" s="1" t="str" cm="1">
        <f t="array" ref="J50">_xlfn.IFS(E50&gt;60000,"High",E50&gt;40000, "Medium", E50&lt;40000,"low")</f>
        <v>Medium</v>
      </c>
      <c r="K50" s="1" t="str">
        <f t="shared" si="2"/>
        <v>Good</v>
      </c>
    </row>
    <row r="51" spans="1:11" x14ac:dyDescent="0.3">
      <c r="A51" s="1">
        <v>1050</v>
      </c>
      <c r="B51" s="1" t="s">
        <v>31</v>
      </c>
      <c r="C51" s="1" t="s">
        <v>8</v>
      </c>
      <c r="D51" s="1" t="s">
        <v>15</v>
      </c>
      <c r="E51" s="1">
        <v>33269</v>
      </c>
      <c r="F51" s="1">
        <v>5636</v>
      </c>
      <c r="G51" s="24">
        <v>3</v>
      </c>
      <c r="H51" s="1" t="str">
        <f t="shared" si="0"/>
        <v>Junior</v>
      </c>
      <c r="I51" s="1" t="str">
        <f t="shared" si="1"/>
        <v>Other</v>
      </c>
      <c r="J51" s="1" t="str" cm="1">
        <f t="array" ref="J51">_xlfn.IFS(E51&gt;60000,"High",E51&gt;40000, "Medium", E51&lt;40000,"low")</f>
        <v>low</v>
      </c>
      <c r="K51" s="1" t="str">
        <f t="shared" si="2"/>
        <v>Average</v>
      </c>
    </row>
    <row r="52" spans="1:11" x14ac:dyDescent="0.3">
      <c r="A52" s="1">
        <v>1051</v>
      </c>
      <c r="B52" s="1" t="s">
        <v>22</v>
      </c>
      <c r="C52" s="1" t="s">
        <v>11</v>
      </c>
      <c r="D52" s="1" t="s">
        <v>21</v>
      </c>
      <c r="E52" s="1">
        <v>21766</v>
      </c>
      <c r="F52" s="1">
        <v>3144</v>
      </c>
      <c r="G52" s="24">
        <v>4</v>
      </c>
      <c r="H52" s="1" t="str">
        <f t="shared" si="0"/>
        <v>Junior</v>
      </c>
      <c r="I52" s="1" t="str">
        <f t="shared" si="1"/>
        <v>Main</v>
      </c>
      <c r="J52" s="1" t="str" cm="1">
        <f t="array" ref="J52">_xlfn.IFS(E52&gt;60000,"High",E52&gt;40000, "Medium", E52&lt;40000,"low")</f>
        <v>low</v>
      </c>
      <c r="K52" s="1" t="str">
        <f t="shared" si="2"/>
        <v>Average</v>
      </c>
    </row>
    <row r="53" spans="1:11" x14ac:dyDescent="0.3">
      <c r="A53" s="1">
        <v>1052</v>
      </c>
      <c r="B53" s="1" t="s">
        <v>13</v>
      </c>
      <c r="C53" s="1" t="s">
        <v>14</v>
      </c>
      <c r="D53" s="1" t="s">
        <v>12</v>
      </c>
      <c r="E53" s="1">
        <v>74489</v>
      </c>
      <c r="F53" s="1">
        <v>4055</v>
      </c>
      <c r="G53" s="24">
        <v>1</v>
      </c>
      <c r="H53" s="1" t="str">
        <f t="shared" si="0"/>
        <v>Junior</v>
      </c>
      <c r="I53" s="1" t="str">
        <f t="shared" si="1"/>
        <v>Other</v>
      </c>
      <c r="J53" s="1" t="str" cm="1">
        <f t="array" ref="J53">_xlfn.IFS(E53&gt;60000,"High",E53&gt;40000, "Medium", E53&lt;40000,"low")</f>
        <v>High</v>
      </c>
      <c r="K53" s="1" t="str">
        <f t="shared" si="2"/>
        <v>Average</v>
      </c>
    </row>
    <row r="54" spans="1:11" x14ac:dyDescent="0.3">
      <c r="A54" s="1">
        <v>1053</v>
      </c>
      <c r="B54" s="1" t="s">
        <v>30</v>
      </c>
      <c r="C54" s="1" t="s">
        <v>19</v>
      </c>
      <c r="D54" s="1" t="s">
        <v>21</v>
      </c>
      <c r="E54" s="1">
        <v>27248</v>
      </c>
      <c r="F54" s="1">
        <v>7369</v>
      </c>
      <c r="G54" s="24">
        <v>5</v>
      </c>
      <c r="H54" s="1" t="str">
        <f t="shared" si="0"/>
        <v>Junior</v>
      </c>
      <c r="I54" s="1" t="str">
        <f t="shared" si="1"/>
        <v>Main</v>
      </c>
      <c r="J54" s="1" t="str" cm="1">
        <f t="array" ref="J54">_xlfn.IFS(E54&gt;60000,"High",E54&gt;40000, "Medium", E54&lt;40000,"low")</f>
        <v>low</v>
      </c>
      <c r="K54" s="1" t="str">
        <f t="shared" si="2"/>
        <v>Average</v>
      </c>
    </row>
    <row r="55" spans="1:11" x14ac:dyDescent="0.3">
      <c r="A55" s="1">
        <v>1054</v>
      </c>
      <c r="B55" s="1" t="s">
        <v>32</v>
      </c>
      <c r="C55" s="1" t="s">
        <v>8</v>
      </c>
      <c r="D55" s="1" t="s">
        <v>15</v>
      </c>
      <c r="E55" s="1">
        <v>70703</v>
      </c>
      <c r="F55" s="1">
        <v>5796</v>
      </c>
      <c r="G55" s="24">
        <v>8</v>
      </c>
      <c r="H55" s="1" t="str">
        <f t="shared" si="0"/>
        <v>Senior</v>
      </c>
      <c r="I55" s="1" t="str">
        <f t="shared" si="1"/>
        <v>Other</v>
      </c>
      <c r="J55" s="1" t="str" cm="1">
        <f t="array" ref="J55">_xlfn.IFS(E55&gt;60000,"High",E55&gt;40000, "Medium", E55&lt;40000,"low")</f>
        <v>High</v>
      </c>
      <c r="K55" s="1" t="str">
        <f t="shared" si="2"/>
        <v>Good</v>
      </c>
    </row>
    <row r="56" spans="1:11" x14ac:dyDescent="0.3">
      <c r="A56" s="1">
        <v>1055</v>
      </c>
      <c r="B56" s="1" t="s">
        <v>28</v>
      </c>
      <c r="C56" s="1" t="s">
        <v>11</v>
      </c>
      <c r="D56" s="1" t="s">
        <v>9</v>
      </c>
      <c r="E56" s="1">
        <v>53725</v>
      </c>
      <c r="F56" s="1">
        <v>3478</v>
      </c>
      <c r="G56" s="24">
        <v>1</v>
      </c>
      <c r="H56" s="1" t="str">
        <f t="shared" si="0"/>
        <v>Junior</v>
      </c>
      <c r="I56" s="1" t="str">
        <f t="shared" si="1"/>
        <v>Main</v>
      </c>
      <c r="J56" s="1" t="str" cm="1">
        <f t="array" ref="J56">_xlfn.IFS(E56&gt;60000,"High",E56&gt;40000, "Medium", E56&lt;40000,"low")</f>
        <v>Medium</v>
      </c>
      <c r="K56" s="1" t="str">
        <f t="shared" si="2"/>
        <v>Good</v>
      </c>
    </row>
    <row r="57" spans="1:11" x14ac:dyDescent="0.3">
      <c r="A57" s="1">
        <v>1056</v>
      </c>
      <c r="B57" s="1" t="s">
        <v>18</v>
      </c>
      <c r="C57" s="1" t="s">
        <v>19</v>
      </c>
      <c r="D57" s="1" t="s">
        <v>15</v>
      </c>
      <c r="E57" s="1">
        <v>31273</v>
      </c>
      <c r="F57" s="1">
        <v>7614</v>
      </c>
      <c r="G57" s="24">
        <v>5</v>
      </c>
      <c r="H57" s="1" t="str">
        <f t="shared" si="0"/>
        <v>Junior</v>
      </c>
      <c r="I57" s="1" t="str">
        <f t="shared" si="1"/>
        <v>Other</v>
      </c>
      <c r="J57" s="1" t="str" cm="1">
        <f t="array" ref="J57">_xlfn.IFS(E57&gt;60000,"High",E57&gt;40000, "Medium", E57&lt;40000,"low")</f>
        <v>low</v>
      </c>
      <c r="K57" s="1" t="str">
        <f t="shared" si="2"/>
        <v>Average</v>
      </c>
    </row>
    <row r="58" spans="1:11" x14ac:dyDescent="0.3">
      <c r="A58" s="1">
        <v>1057</v>
      </c>
      <c r="B58" s="1" t="s">
        <v>7</v>
      </c>
      <c r="C58" s="1" t="s">
        <v>19</v>
      </c>
      <c r="D58" s="1" t="s">
        <v>9</v>
      </c>
      <c r="E58" s="1">
        <v>38884</v>
      </c>
      <c r="F58" s="1">
        <v>8365</v>
      </c>
      <c r="G58" s="24">
        <v>6</v>
      </c>
      <c r="H58" s="1" t="str">
        <f t="shared" si="0"/>
        <v>Junior</v>
      </c>
      <c r="I58" s="1" t="str">
        <f t="shared" si="1"/>
        <v>Main</v>
      </c>
      <c r="J58" s="1" t="str" cm="1">
        <f t="array" ref="J58">_xlfn.IFS(E58&gt;60000,"High",E58&gt;40000, "Medium", E58&lt;40000,"low")</f>
        <v>low</v>
      </c>
      <c r="K58" s="1" t="str">
        <f t="shared" si="2"/>
        <v>Average</v>
      </c>
    </row>
    <row r="59" spans="1:11" x14ac:dyDescent="0.3">
      <c r="A59" s="1">
        <v>1058</v>
      </c>
      <c r="B59" s="1" t="s">
        <v>26</v>
      </c>
      <c r="C59" s="1" t="s">
        <v>8</v>
      </c>
      <c r="D59" s="1" t="s">
        <v>21</v>
      </c>
      <c r="E59" s="1">
        <v>39456</v>
      </c>
      <c r="F59" s="1">
        <v>2415</v>
      </c>
      <c r="G59" s="24">
        <v>7</v>
      </c>
      <c r="H59" s="1" t="str">
        <f t="shared" si="0"/>
        <v>Junior</v>
      </c>
      <c r="I59" s="1" t="str">
        <f t="shared" si="1"/>
        <v>Main</v>
      </c>
      <c r="J59" s="1" t="str" cm="1">
        <f t="array" ref="J59">_xlfn.IFS(E59&gt;60000,"High",E59&gt;40000, "Medium", E59&lt;40000,"low")</f>
        <v>low</v>
      </c>
      <c r="K59" s="1" t="str">
        <f t="shared" si="2"/>
        <v>Average</v>
      </c>
    </row>
    <row r="60" spans="1:11" x14ac:dyDescent="0.3">
      <c r="A60" s="1">
        <v>1059</v>
      </c>
      <c r="B60" s="1" t="s">
        <v>20</v>
      </c>
      <c r="C60" s="1" t="s">
        <v>19</v>
      </c>
      <c r="D60" s="1" t="s">
        <v>21</v>
      </c>
      <c r="E60" s="1">
        <v>75599</v>
      </c>
      <c r="F60" s="1">
        <v>3080</v>
      </c>
      <c r="G60" s="24">
        <v>6</v>
      </c>
      <c r="H60" s="1" t="str">
        <f t="shared" si="0"/>
        <v>Senior</v>
      </c>
      <c r="I60" s="1" t="str">
        <f t="shared" si="1"/>
        <v>Main</v>
      </c>
      <c r="J60" s="1" t="str" cm="1">
        <f t="array" ref="J60">_xlfn.IFS(E60&gt;60000,"High",E60&gt;40000, "Medium", E60&lt;40000,"low")</f>
        <v>High</v>
      </c>
      <c r="K60" s="1" t="str">
        <f t="shared" si="2"/>
        <v>Average</v>
      </c>
    </row>
    <row r="61" spans="1:11" x14ac:dyDescent="0.3">
      <c r="A61" s="1">
        <v>1060</v>
      </c>
      <c r="B61" s="1" t="s">
        <v>27</v>
      </c>
      <c r="C61" s="1" t="s">
        <v>19</v>
      </c>
      <c r="D61" s="1" t="s">
        <v>21</v>
      </c>
      <c r="E61" s="1">
        <v>21371</v>
      </c>
      <c r="F61" s="1">
        <v>7106</v>
      </c>
      <c r="G61" s="24">
        <v>2</v>
      </c>
      <c r="H61" s="1" t="str">
        <f t="shared" si="0"/>
        <v>Junior</v>
      </c>
      <c r="I61" s="1" t="str">
        <f t="shared" si="1"/>
        <v>Main</v>
      </c>
      <c r="J61" s="1" t="str" cm="1">
        <f t="array" ref="J61">_xlfn.IFS(E61&gt;60000,"High",E61&gt;40000, "Medium", E61&lt;40000,"low")</f>
        <v>low</v>
      </c>
      <c r="K61" s="1" t="str">
        <f t="shared" si="2"/>
        <v>Average</v>
      </c>
    </row>
    <row r="62" spans="1:11" x14ac:dyDescent="0.3">
      <c r="A62" s="1">
        <v>1061</v>
      </c>
      <c r="B62" s="1" t="s">
        <v>26</v>
      </c>
      <c r="C62" s="1" t="s">
        <v>8</v>
      </c>
      <c r="D62" s="1" t="s">
        <v>9</v>
      </c>
      <c r="E62" s="1">
        <v>30824</v>
      </c>
      <c r="F62" s="1">
        <v>2205</v>
      </c>
      <c r="G62" s="24">
        <v>10</v>
      </c>
      <c r="H62" s="1" t="str">
        <f t="shared" si="0"/>
        <v>Junior</v>
      </c>
      <c r="I62" s="1" t="str">
        <f t="shared" si="1"/>
        <v>Main</v>
      </c>
      <c r="J62" s="1" t="str" cm="1">
        <f t="array" ref="J62">_xlfn.IFS(E62&gt;60000,"High",E62&gt;40000, "Medium", E62&lt;40000,"low")</f>
        <v>low</v>
      </c>
      <c r="K62" s="1" t="str">
        <f t="shared" si="2"/>
        <v>Average</v>
      </c>
    </row>
    <row r="63" spans="1:11" x14ac:dyDescent="0.3">
      <c r="A63" s="1">
        <v>1062</v>
      </c>
      <c r="B63" s="1" t="s">
        <v>7</v>
      </c>
      <c r="C63" s="1" t="s">
        <v>11</v>
      </c>
      <c r="D63" s="1" t="s">
        <v>9</v>
      </c>
      <c r="E63" s="1">
        <v>75049</v>
      </c>
      <c r="F63" s="1">
        <v>3176</v>
      </c>
      <c r="G63" s="24">
        <v>5</v>
      </c>
      <c r="H63" s="1" t="str">
        <f t="shared" si="0"/>
        <v>Junior</v>
      </c>
      <c r="I63" s="1" t="str">
        <f t="shared" si="1"/>
        <v>Main</v>
      </c>
      <c r="J63" s="1" t="str" cm="1">
        <f t="array" ref="J63">_xlfn.IFS(E63&gt;60000,"High",E63&gt;40000, "Medium", E63&lt;40000,"low")</f>
        <v>High</v>
      </c>
      <c r="K63" s="1" t="str">
        <f t="shared" si="2"/>
        <v>Average</v>
      </c>
    </row>
    <row r="64" spans="1:11" x14ac:dyDescent="0.3">
      <c r="A64" s="1">
        <v>1063</v>
      </c>
      <c r="B64" s="1" t="s">
        <v>22</v>
      </c>
      <c r="C64" s="1" t="s">
        <v>14</v>
      </c>
      <c r="D64" s="1" t="s">
        <v>12</v>
      </c>
      <c r="E64" s="1">
        <v>72895</v>
      </c>
      <c r="F64" s="1">
        <v>1576</v>
      </c>
      <c r="G64" s="24">
        <v>7</v>
      </c>
      <c r="H64" s="1" t="str">
        <f t="shared" si="0"/>
        <v>Senior</v>
      </c>
      <c r="I64" s="1" t="str">
        <f t="shared" si="1"/>
        <v>Other</v>
      </c>
      <c r="J64" s="1" t="str" cm="1">
        <f t="array" ref="J64">_xlfn.IFS(E64&gt;60000,"High",E64&gt;40000, "Medium", E64&lt;40000,"low")</f>
        <v>High</v>
      </c>
      <c r="K64" s="1" t="str">
        <f t="shared" si="2"/>
        <v>Average</v>
      </c>
    </row>
    <row r="65" spans="1:11" x14ac:dyDescent="0.3">
      <c r="A65" s="1">
        <v>1064</v>
      </c>
      <c r="B65" s="1" t="s">
        <v>20</v>
      </c>
      <c r="C65" s="1" t="s">
        <v>19</v>
      </c>
      <c r="D65" s="1" t="s">
        <v>21</v>
      </c>
      <c r="E65" s="1">
        <v>47550</v>
      </c>
      <c r="F65" s="1">
        <v>8666</v>
      </c>
      <c r="G65" s="24">
        <v>7</v>
      </c>
      <c r="H65" s="1" t="str">
        <f t="shared" si="0"/>
        <v>Junior</v>
      </c>
      <c r="I65" s="1" t="str">
        <f t="shared" si="1"/>
        <v>Main</v>
      </c>
      <c r="J65" s="1" t="str" cm="1">
        <f t="array" ref="J65">_xlfn.IFS(E65&gt;60000,"High",E65&gt;40000, "Medium", E65&lt;40000,"low")</f>
        <v>Medium</v>
      </c>
      <c r="K65" s="1" t="str">
        <f t="shared" si="2"/>
        <v>Average</v>
      </c>
    </row>
    <row r="66" spans="1:11" x14ac:dyDescent="0.3">
      <c r="A66" s="1">
        <v>1065</v>
      </c>
      <c r="B66" s="1" t="s">
        <v>22</v>
      </c>
      <c r="C66" s="1" t="s">
        <v>11</v>
      </c>
      <c r="D66" s="1" t="s">
        <v>15</v>
      </c>
      <c r="E66" s="1">
        <v>55068</v>
      </c>
      <c r="F66" s="1">
        <v>3185</v>
      </c>
      <c r="G66" s="24">
        <v>7</v>
      </c>
      <c r="H66" s="1" t="str">
        <f t="shared" si="0"/>
        <v>Senior</v>
      </c>
      <c r="I66" s="1" t="str">
        <f t="shared" si="1"/>
        <v>Other</v>
      </c>
      <c r="J66" s="1" t="str" cm="1">
        <f t="array" ref="J66">_xlfn.IFS(E66&gt;60000,"High",E66&gt;40000, "Medium", E66&lt;40000,"low")</f>
        <v>Medium</v>
      </c>
      <c r="K66" s="1" t="str">
        <f t="shared" si="2"/>
        <v>Good</v>
      </c>
    </row>
    <row r="67" spans="1:11" x14ac:dyDescent="0.3">
      <c r="A67" s="1">
        <v>1066</v>
      </c>
      <c r="B67" s="1" t="s">
        <v>33</v>
      </c>
      <c r="C67" s="1" t="s">
        <v>8</v>
      </c>
      <c r="D67" s="1" t="s">
        <v>15</v>
      </c>
      <c r="E67" s="1">
        <v>40936</v>
      </c>
      <c r="F67" s="1">
        <v>4211</v>
      </c>
      <c r="G67" s="24">
        <v>3</v>
      </c>
      <c r="H67" s="1" t="str">
        <f t="shared" ref="H67:H130" si="3">IF(AND(E67&gt;50000,G67&gt;5),"Senior", "Junior")</f>
        <v>Junior</v>
      </c>
      <c r="I67" s="1" t="str">
        <f t="shared" ref="I67:I130" si="4">IF(OR(D67="South",D67="North"), "Main", "Other")</f>
        <v>Other</v>
      </c>
      <c r="J67" s="1" t="str" cm="1">
        <f t="array" ref="J67">_xlfn.IFS(E67&gt;60000,"High",E67&gt;40000, "Medium", E67&lt;40000,"low")</f>
        <v>Medium</v>
      </c>
      <c r="K67" s="1" t="str">
        <f t="shared" ref="K67:K130" si="5">IF(AND(E67&gt;50000,F66&gt;5000),"Good", "Average")</f>
        <v>Average</v>
      </c>
    </row>
    <row r="68" spans="1:11" x14ac:dyDescent="0.3">
      <c r="A68" s="1">
        <v>1067</v>
      </c>
      <c r="B68" s="1" t="s">
        <v>24</v>
      </c>
      <c r="C68" s="1" t="s">
        <v>19</v>
      </c>
      <c r="D68" s="1" t="s">
        <v>15</v>
      </c>
      <c r="E68" s="1">
        <v>61479</v>
      </c>
      <c r="F68" s="1">
        <v>5657</v>
      </c>
      <c r="G68" s="24">
        <v>10</v>
      </c>
      <c r="H68" s="1" t="str">
        <f t="shared" si="3"/>
        <v>Senior</v>
      </c>
      <c r="I68" s="1" t="str">
        <f t="shared" si="4"/>
        <v>Other</v>
      </c>
      <c r="J68" s="1" t="str" cm="1">
        <f t="array" ref="J68">_xlfn.IFS(E68&gt;60000,"High",E68&gt;40000, "Medium", E68&lt;40000,"low")</f>
        <v>High</v>
      </c>
      <c r="K68" s="1" t="str">
        <f t="shared" si="5"/>
        <v>Average</v>
      </c>
    </row>
    <row r="69" spans="1:11" x14ac:dyDescent="0.3">
      <c r="A69" s="1">
        <v>1068</v>
      </c>
      <c r="B69" s="1" t="s">
        <v>22</v>
      </c>
      <c r="C69" s="1" t="s">
        <v>11</v>
      </c>
      <c r="D69" s="1" t="s">
        <v>12</v>
      </c>
      <c r="E69" s="1">
        <v>37975</v>
      </c>
      <c r="F69" s="1">
        <v>9510</v>
      </c>
      <c r="G69" s="24">
        <v>6</v>
      </c>
      <c r="H69" s="1" t="str">
        <f t="shared" si="3"/>
        <v>Junior</v>
      </c>
      <c r="I69" s="1" t="str">
        <f t="shared" si="4"/>
        <v>Other</v>
      </c>
      <c r="J69" s="1" t="str" cm="1">
        <f t="array" ref="J69">_xlfn.IFS(E69&gt;60000,"High",E69&gt;40000, "Medium", E69&lt;40000,"low")</f>
        <v>low</v>
      </c>
      <c r="K69" s="1" t="str">
        <f t="shared" si="5"/>
        <v>Average</v>
      </c>
    </row>
    <row r="70" spans="1:11" x14ac:dyDescent="0.3">
      <c r="A70" s="1">
        <v>1069</v>
      </c>
      <c r="B70" s="1" t="s">
        <v>34</v>
      </c>
      <c r="C70" s="1" t="s">
        <v>8</v>
      </c>
      <c r="D70" s="1" t="s">
        <v>12</v>
      </c>
      <c r="E70" s="1">
        <v>25240</v>
      </c>
      <c r="F70" s="1">
        <v>4594</v>
      </c>
      <c r="G70" s="24">
        <v>8</v>
      </c>
      <c r="H70" s="1" t="str">
        <f t="shared" si="3"/>
        <v>Junior</v>
      </c>
      <c r="I70" s="1" t="str">
        <f t="shared" si="4"/>
        <v>Other</v>
      </c>
      <c r="J70" s="1" t="str" cm="1">
        <f t="array" ref="J70">_xlfn.IFS(E70&gt;60000,"High",E70&gt;40000, "Medium", E70&lt;40000,"low")</f>
        <v>low</v>
      </c>
      <c r="K70" s="1" t="str">
        <f t="shared" si="5"/>
        <v>Average</v>
      </c>
    </row>
    <row r="71" spans="1:11" x14ac:dyDescent="0.3">
      <c r="A71" s="1">
        <v>1070</v>
      </c>
      <c r="B71" s="1" t="s">
        <v>27</v>
      </c>
      <c r="C71" s="1" t="s">
        <v>14</v>
      </c>
      <c r="D71" s="1" t="s">
        <v>21</v>
      </c>
      <c r="E71" s="1">
        <v>23101</v>
      </c>
      <c r="F71" s="1">
        <v>1108</v>
      </c>
      <c r="G71" s="24">
        <v>1</v>
      </c>
      <c r="H71" s="1" t="str">
        <f t="shared" si="3"/>
        <v>Junior</v>
      </c>
      <c r="I71" s="1" t="str">
        <f t="shared" si="4"/>
        <v>Main</v>
      </c>
      <c r="J71" s="1" t="str" cm="1">
        <f t="array" ref="J71">_xlfn.IFS(E71&gt;60000,"High",E71&gt;40000, "Medium", E71&lt;40000,"low")</f>
        <v>low</v>
      </c>
      <c r="K71" s="1" t="str">
        <f t="shared" si="5"/>
        <v>Average</v>
      </c>
    </row>
    <row r="72" spans="1:11" x14ac:dyDescent="0.3">
      <c r="A72" s="1">
        <v>1071</v>
      </c>
      <c r="B72" s="1" t="s">
        <v>33</v>
      </c>
      <c r="C72" s="1" t="s">
        <v>11</v>
      </c>
      <c r="D72" s="1" t="s">
        <v>15</v>
      </c>
      <c r="E72" s="1">
        <v>28670</v>
      </c>
      <c r="F72" s="1">
        <v>5096</v>
      </c>
      <c r="G72" s="24">
        <v>6</v>
      </c>
      <c r="H72" s="1" t="str">
        <f t="shared" si="3"/>
        <v>Junior</v>
      </c>
      <c r="I72" s="1" t="str">
        <f t="shared" si="4"/>
        <v>Other</v>
      </c>
      <c r="J72" s="1" t="str" cm="1">
        <f t="array" ref="J72">_xlfn.IFS(E72&gt;60000,"High",E72&gt;40000, "Medium", E72&lt;40000,"low")</f>
        <v>low</v>
      </c>
      <c r="K72" s="1" t="str">
        <f t="shared" si="5"/>
        <v>Average</v>
      </c>
    </row>
    <row r="73" spans="1:11" x14ac:dyDescent="0.3">
      <c r="A73" s="1">
        <v>1072</v>
      </c>
      <c r="B73" s="1" t="s">
        <v>7</v>
      </c>
      <c r="C73" s="1" t="s">
        <v>8</v>
      </c>
      <c r="D73" s="1" t="s">
        <v>12</v>
      </c>
      <c r="E73" s="1">
        <v>68210</v>
      </c>
      <c r="F73" s="1">
        <v>7404</v>
      </c>
      <c r="G73" s="24">
        <v>7</v>
      </c>
      <c r="H73" s="1" t="str">
        <f t="shared" si="3"/>
        <v>Senior</v>
      </c>
      <c r="I73" s="1" t="str">
        <f t="shared" si="4"/>
        <v>Other</v>
      </c>
      <c r="J73" s="1" t="str" cm="1">
        <f t="array" ref="J73">_xlfn.IFS(E73&gt;60000,"High",E73&gt;40000, "Medium", E73&lt;40000,"low")</f>
        <v>High</v>
      </c>
      <c r="K73" s="1" t="str">
        <f t="shared" si="5"/>
        <v>Good</v>
      </c>
    </row>
    <row r="74" spans="1:11" x14ac:dyDescent="0.3">
      <c r="A74" s="1">
        <v>1073</v>
      </c>
      <c r="B74" s="1" t="s">
        <v>32</v>
      </c>
      <c r="C74" s="1" t="s">
        <v>14</v>
      </c>
      <c r="D74" s="1" t="s">
        <v>15</v>
      </c>
      <c r="E74" s="1">
        <v>41885</v>
      </c>
      <c r="F74" s="1">
        <v>5581</v>
      </c>
      <c r="G74" s="24">
        <v>9</v>
      </c>
      <c r="H74" s="1" t="str">
        <f t="shared" si="3"/>
        <v>Junior</v>
      </c>
      <c r="I74" s="1" t="str">
        <f t="shared" si="4"/>
        <v>Other</v>
      </c>
      <c r="J74" s="1" t="str" cm="1">
        <f t="array" ref="J74">_xlfn.IFS(E74&gt;60000,"High",E74&gt;40000, "Medium", E74&lt;40000,"low")</f>
        <v>Medium</v>
      </c>
      <c r="K74" s="1" t="str">
        <f t="shared" si="5"/>
        <v>Average</v>
      </c>
    </row>
    <row r="75" spans="1:11" x14ac:dyDescent="0.3">
      <c r="A75" s="1">
        <v>1074</v>
      </c>
      <c r="B75" s="1" t="s">
        <v>33</v>
      </c>
      <c r="C75" s="1" t="s">
        <v>14</v>
      </c>
      <c r="D75" s="1" t="s">
        <v>15</v>
      </c>
      <c r="E75" s="1">
        <v>46855</v>
      </c>
      <c r="F75" s="1">
        <v>9162</v>
      </c>
      <c r="G75" s="24">
        <v>5</v>
      </c>
      <c r="H75" s="1" t="str">
        <f t="shared" si="3"/>
        <v>Junior</v>
      </c>
      <c r="I75" s="1" t="str">
        <f t="shared" si="4"/>
        <v>Other</v>
      </c>
      <c r="J75" s="1" t="str" cm="1">
        <f t="array" ref="J75">_xlfn.IFS(E75&gt;60000,"High",E75&gt;40000, "Medium", E75&lt;40000,"low")</f>
        <v>Medium</v>
      </c>
      <c r="K75" s="1" t="str">
        <f t="shared" si="5"/>
        <v>Average</v>
      </c>
    </row>
    <row r="76" spans="1:11" x14ac:dyDescent="0.3">
      <c r="A76" s="1">
        <v>1075</v>
      </c>
      <c r="B76" s="1" t="s">
        <v>23</v>
      </c>
      <c r="C76" s="1" t="s">
        <v>14</v>
      </c>
      <c r="D76" s="1" t="s">
        <v>12</v>
      </c>
      <c r="E76" s="1">
        <v>67656</v>
      </c>
      <c r="F76" s="1">
        <v>1218</v>
      </c>
      <c r="G76" s="24">
        <v>10</v>
      </c>
      <c r="H76" s="1" t="str">
        <f t="shared" si="3"/>
        <v>Senior</v>
      </c>
      <c r="I76" s="1" t="str">
        <f t="shared" si="4"/>
        <v>Other</v>
      </c>
      <c r="J76" s="1" t="str" cm="1">
        <f t="array" ref="J76">_xlfn.IFS(E76&gt;60000,"High",E76&gt;40000, "Medium", E76&lt;40000,"low")</f>
        <v>High</v>
      </c>
      <c r="K76" s="1" t="str">
        <f t="shared" si="5"/>
        <v>Good</v>
      </c>
    </row>
    <row r="77" spans="1:11" x14ac:dyDescent="0.3">
      <c r="A77" s="1">
        <v>1076</v>
      </c>
      <c r="B77" s="1" t="s">
        <v>13</v>
      </c>
      <c r="C77" s="1" t="s">
        <v>11</v>
      </c>
      <c r="D77" s="1" t="s">
        <v>12</v>
      </c>
      <c r="E77" s="1">
        <v>69576</v>
      </c>
      <c r="F77" s="1">
        <v>7262</v>
      </c>
      <c r="G77" s="24">
        <v>5</v>
      </c>
      <c r="H77" s="1" t="str">
        <f t="shared" si="3"/>
        <v>Junior</v>
      </c>
      <c r="I77" s="1" t="str">
        <f t="shared" si="4"/>
        <v>Other</v>
      </c>
      <c r="J77" s="1" t="str" cm="1">
        <f t="array" ref="J77">_xlfn.IFS(E77&gt;60000,"High",E77&gt;40000, "Medium", E77&lt;40000,"low")</f>
        <v>High</v>
      </c>
      <c r="K77" s="1" t="str">
        <f t="shared" si="5"/>
        <v>Average</v>
      </c>
    </row>
    <row r="78" spans="1:11" x14ac:dyDescent="0.3">
      <c r="A78" s="1">
        <v>1077</v>
      </c>
      <c r="B78" s="1" t="s">
        <v>18</v>
      </c>
      <c r="C78" s="1" t="s">
        <v>8</v>
      </c>
      <c r="D78" s="1" t="s">
        <v>12</v>
      </c>
      <c r="E78" s="1">
        <v>71754</v>
      </c>
      <c r="F78" s="1">
        <v>2979</v>
      </c>
      <c r="G78" s="24">
        <v>1</v>
      </c>
      <c r="H78" s="1" t="str">
        <f t="shared" si="3"/>
        <v>Junior</v>
      </c>
      <c r="I78" s="1" t="str">
        <f t="shared" si="4"/>
        <v>Other</v>
      </c>
      <c r="J78" s="1" t="str" cm="1">
        <f t="array" ref="J78">_xlfn.IFS(E78&gt;60000,"High",E78&gt;40000, "Medium", E78&lt;40000,"low")</f>
        <v>High</v>
      </c>
      <c r="K78" s="1" t="str">
        <f t="shared" si="5"/>
        <v>Good</v>
      </c>
    </row>
    <row r="79" spans="1:11" x14ac:dyDescent="0.3">
      <c r="A79" s="1">
        <v>1078</v>
      </c>
      <c r="B79" s="1" t="s">
        <v>31</v>
      </c>
      <c r="C79" s="1" t="s">
        <v>11</v>
      </c>
      <c r="D79" s="1" t="s">
        <v>15</v>
      </c>
      <c r="E79" s="1">
        <v>73784</v>
      </c>
      <c r="F79" s="1">
        <v>7859</v>
      </c>
      <c r="G79" s="24">
        <v>10</v>
      </c>
      <c r="H79" s="1" t="str">
        <f t="shared" si="3"/>
        <v>Senior</v>
      </c>
      <c r="I79" s="1" t="str">
        <f t="shared" si="4"/>
        <v>Other</v>
      </c>
      <c r="J79" s="1" t="str" cm="1">
        <f t="array" ref="J79">_xlfn.IFS(E79&gt;60000,"High",E79&gt;40000, "Medium", E79&lt;40000,"low")</f>
        <v>High</v>
      </c>
      <c r="K79" s="1" t="str">
        <f t="shared" si="5"/>
        <v>Average</v>
      </c>
    </row>
    <row r="80" spans="1:11" x14ac:dyDescent="0.3">
      <c r="A80" s="1">
        <v>1079</v>
      </c>
      <c r="B80" s="1" t="s">
        <v>34</v>
      </c>
      <c r="C80" s="1" t="s">
        <v>19</v>
      </c>
      <c r="D80" s="1" t="s">
        <v>21</v>
      </c>
      <c r="E80" s="1">
        <v>26703</v>
      </c>
      <c r="F80" s="1">
        <v>7424</v>
      </c>
      <c r="G80" s="24">
        <v>7</v>
      </c>
      <c r="H80" s="1" t="str">
        <f t="shared" si="3"/>
        <v>Junior</v>
      </c>
      <c r="I80" s="1" t="str">
        <f t="shared" si="4"/>
        <v>Main</v>
      </c>
      <c r="J80" s="1" t="str" cm="1">
        <f t="array" ref="J80">_xlfn.IFS(E80&gt;60000,"High",E80&gt;40000, "Medium", E80&lt;40000,"low")</f>
        <v>low</v>
      </c>
      <c r="K80" s="1" t="str">
        <f t="shared" si="5"/>
        <v>Average</v>
      </c>
    </row>
    <row r="81" spans="1:11" x14ac:dyDescent="0.3">
      <c r="A81" s="1">
        <v>1080</v>
      </c>
      <c r="B81" s="1" t="s">
        <v>25</v>
      </c>
      <c r="C81" s="1" t="s">
        <v>11</v>
      </c>
      <c r="D81" s="1" t="s">
        <v>15</v>
      </c>
      <c r="E81" s="1">
        <v>29509</v>
      </c>
      <c r="F81" s="1">
        <v>7481</v>
      </c>
      <c r="G81" s="24">
        <v>5</v>
      </c>
      <c r="H81" s="1" t="str">
        <f t="shared" si="3"/>
        <v>Junior</v>
      </c>
      <c r="I81" s="1" t="str">
        <f t="shared" si="4"/>
        <v>Other</v>
      </c>
      <c r="J81" s="1" t="str" cm="1">
        <f t="array" ref="J81">_xlfn.IFS(E81&gt;60000,"High",E81&gt;40000, "Medium", E81&lt;40000,"low")</f>
        <v>low</v>
      </c>
      <c r="K81" s="1" t="str">
        <f t="shared" si="5"/>
        <v>Average</v>
      </c>
    </row>
    <row r="82" spans="1:11" x14ac:dyDescent="0.3">
      <c r="A82" s="1">
        <v>1081</v>
      </c>
      <c r="B82" s="1" t="s">
        <v>31</v>
      </c>
      <c r="C82" s="1" t="s">
        <v>19</v>
      </c>
      <c r="D82" s="1" t="s">
        <v>15</v>
      </c>
      <c r="E82" s="1">
        <v>73007</v>
      </c>
      <c r="F82" s="1">
        <v>6784</v>
      </c>
      <c r="G82" s="24">
        <v>3</v>
      </c>
      <c r="H82" s="1" t="str">
        <f t="shared" si="3"/>
        <v>Junior</v>
      </c>
      <c r="I82" s="1" t="str">
        <f t="shared" si="4"/>
        <v>Other</v>
      </c>
      <c r="J82" s="1" t="str" cm="1">
        <f t="array" ref="J82">_xlfn.IFS(E82&gt;60000,"High",E82&gt;40000, "Medium", E82&lt;40000,"low")</f>
        <v>High</v>
      </c>
      <c r="K82" s="1" t="str">
        <f t="shared" si="5"/>
        <v>Good</v>
      </c>
    </row>
    <row r="83" spans="1:11" x14ac:dyDescent="0.3">
      <c r="A83" s="1">
        <v>1082</v>
      </c>
      <c r="B83" s="1" t="s">
        <v>18</v>
      </c>
      <c r="C83" s="1" t="s">
        <v>14</v>
      </c>
      <c r="D83" s="1" t="s">
        <v>12</v>
      </c>
      <c r="E83" s="1">
        <v>57292</v>
      </c>
      <c r="F83" s="1">
        <v>3999</v>
      </c>
      <c r="G83" s="24">
        <v>2</v>
      </c>
      <c r="H83" s="1" t="str">
        <f t="shared" si="3"/>
        <v>Junior</v>
      </c>
      <c r="I83" s="1" t="str">
        <f t="shared" si="4"/>
        <v>Other</v>
      </c>
      <c r="J83" s="1" t="str" cm="1">
        <f t="array" ref="J83">_xlfn.IFS(E83&gt;60000,"High",E83&gt;40000, "Medium", E83&lt;40000,"low")</f>
        <v>Medium</v>
      </c>
      <c r="K83" s="1" t="str">
        <f t="shared" si="5"/>
        <v>Good</v>
      </c>
    </row>
    <row r="84" spans="1:11" x14ac:dyDescent="0.3">
      <c r="A84" s="1">
        <v>1083</v>
      </c>
      <c r="B84" s="1" t="s">
        <v>30</v>
      </c>
      <c r="C84" s="1" t="s">
        <v>19</v>
      </c>
      <c r="D84" s="1" t="s">
        <v>21</v>
      </c>
      <c r="E84" s="1">
        <v>41275</v>
      </c>
      <c r="F84" s="1">
        <v>9081</v>
      </c>
      <c r="G84" s="24">
        <v>9</v>
      </c>
      <c r="H84" s="1" t="str">
        <f t="shared" si="3"/>
        <v>Junior</v>
      </c>
      <c r="I84" s="1" t="str">
        <f t="shared" si="4"/>
        <v>Main</v>
      </c>
      <c r="J84" s="1" t="str" cm="1">
        <f t="array" ref="J84">_xlfn.IFS(E84&gt;60000,"High",E84&gt;40000, "Medium", E84&lt;40000,"low")</f>
        <v>Medium</v>
      </c>
      <c r="K84" s="1" t="str">
        <f t="shared" si="5"/>
        <v>Average</v>
      </c>
    </row>
    <row r="85" spans="1:11" x14ac:dyDescent="0.3">
      <c r="A85" s="1">
        <v>1084</v>
      </c>
      <c r="B85" s="1" t="s">
        <v>22</v>
      </c>
      <c r="C85" s="1" t="s">
        <v>19</v>
      </c>
      <c r="D85" s="1" t="s">
        <v>9</v>
      </c>
      <c r="E85" s="1">
        <v>74986</v>
      </c>
      <c r="F85" s="1">
        <v>3129</v>
      </c>
      <c r="G85" s="24">
        <v>1</v>
      </c>
      <c r="H85" s="1" t="str">
        <f t="shared" si="3"/>
        <v>Junior</v>
      </c>
      <c r="I85" s="1" t="str">
        <f t="shared" si="4"/>
        <v>Main</v>
      </c>
      <c r="J85" s="1" t="str" cm="1">
        <f t="array" ref="J85">_xlfn.IFS(E85&gt;60000,"High",E85&gt;40000, "Medium", E85&lt;40000,"low")</f>
        <v>High</v>
      </c>
      <c r="K85" s="1" t="str">
        <f t="shared" si="5"/>
        <v>Good</v>
      </c>
    </row>
    <row r="86" spans="1:11" x14ac:dyDescent="0.3">
      <c r="A86" s="1">
        <v>1085</v>
      </c>
      <c r="B86" s="1" t="s">
        <v>18</v>
      </c>
      <c r="C86" s="1" t="s">
        <v>14</v>
      </c>
      <c r="D86" s="1" t="s">
        <v>15</v>
      </c>
      <c r="E86" s="1">
        <v>26328</v>
      </c>
      <c r="F86" s="1">
        <v>2713</v>
      </c>
      <c r="G86" s="24">
        <v>8</v>
      </c>
      <c r="H86" s="1" t="str">
        <f t="shared" si="3"/>
        <v>Junior</v>
      </c>
      <c r="I86" s="1" t="str">
        <f t="shared" si="4"/>
        <v>Other</v>
      </c>
      <c r="J86" s="1" t="str" cm="1">
        <f t="array" ref="J86">_xlfn.IFS(E86&gt;60000,"High",E86&gt;40000, "Medium", E86&lt;40000,"low")</f>
        <v>low</v>
      </c>
      <c r="K86" s="1" t="str">
        <f t="shared" si="5"/>
        <v>Average</v>
      </c>
    </row>
    <row r="87" spans="1:11" x14ac:dyDescent="0.3">
      <c r="A87" s="1">
        <v>1086</v>
      </c>
      <c r="B87" s="1" t="s">
        <v>30</v>
      </c>
      <c r="C87" s="1" t="s">
        <v>19</v>
      </c>
      <c r="D87" s="1" t="s">
        <v>12</v>
      </c>
      <c r="E87" s="1">
        <v>64262</v>
      </c>
      <c r="F87" s="1">
        <v>5101</v>
      </c>
      <c r="G87" s="24">
        <v>8</v>
      </c>
      <c r="H87" s="1" t="str">
        <f t="shared" si="3"/>
        <v>Senior</v>
      </c>
      <c r="I87" s="1" t="str">
        <f t="shared" si="4"/>
        <v>Other</v>
      </c>
      <c r="J87" s="1" t="str" cm="1">
        <f t="array" ref="J87">_xlfn.IFS(E87&gt;60000,"High",E87&gt;40000, "Medium", E87&lt;40000,"low")</f>
        <v>High</v>
      </c>
      <c r="K87" s="1" t="str">
        <f t="shared" si="5"/>
        <v>Average</v>
      </c>
    </row>
    <row r="88" spans="1:11" x14ac:dyDescent="0.3">
      <c r="A88" s="1">
        <v>1087</v>
      </c>
      <c r="B88" s="1" t="s">
        <v>30</v>
      </c>
      <c r="C88" s="1" t="s">
        <v>14</v>
      </c>
      <c r="D88" s="1" t="s">
        <v>9</v>
      </c>
      <c r="E88" s="1">
        <v>35514</v>
      </c>
      <c r="F88" s="1">
        <v>7798</v>
      </c>
      <c r="G88" s="24">
        <v>8</v>
      </c>
      <c r="H88" s="1" t="str">
        <f t="shared" si="3"/>
        <v>Junior</v>
      </c>
      <c r="I88" s="1" t="str">
        <f t="shared" si="4"/>
        <v>Main</v>
      </c>
      <c r="J88" s="1" t="str" cm="1">
        <f t="array" ref="J88">_xlfn.IFS(E88&gt;60000,"High",E88&gt;40000, "Medium", E88&lt;40000,"low")</f>
        <v>low</v>
      </c>
      <c r="K88" s="1" t="str">
        <f t="shared" si="5"/>
        <v>Average</v>
      </c>
    </row>
    <row r="89" spans="1:11" x14ac:dyDescent="0.3">
      <c r="A89" s="1">
        <v>1088</v>
      </c>
      <c r="B89" s="1" t="s">
        <v>33</v>
      </c>
      <c r="C89" s="1" t="s">
        <v>11</v>
      </c>
      <c r="D89" s="1" t="s">
        <v>12</v>
      </c>
      <c r="E89" s="1">
        <v>33097</v>
      </c>
      <c r="F89" s="1">
        <v>3123</v>
      </c>
      <c r="G89" s="24">
        <v>7</v>
      </c>
      <c r="H89" s="1" t="str">
        <f t="shared" si="3"/>
        <v>Junior</v>
      </c>
      <c r="I89" s="1" t="str">
        <f t="shared" si="4"/>
        <v>Other</v>
      </c>
      <c r="J89" s="1" t="str" cm="1">
        <f t="array" ref="J89">_xlfn.IFS(E89&gt;60000,"High",E89&gt;40000, "Medium", E89&lt;40000,"low")</f>
        <v>low</v>
      </c>
      <c r="K89" s="1" t="str">
        <f t="shared" si="5"/>
        <v>Average</v>
      </c>
    </row>
    <row r="90" spans="1:11" x14ac:dyDescent="0.3">
      <c r="A90" s="1">
        <v>1089</v>
      </c>
      <c r="B90" s="1" t="s">
        <v>27</v>
      </c>
      <c r="C90" s="1" t="s">
        <v>19</v>
      </c>
      <c r="D90" s="1" t="s">
        <v>15</v>
      </c>
      <c r="E90" s="1">
        <v>71262</v>
      </c>
      <c r="F90" s="1">
        <v>7439</v>
      </c>
      <c r="G90" s="24">
        <v>4</v>
      </c>
      <c r="H90" s="1" t="str">
        <f t="shared" si="3"/>
        <v>Junior</v>
      </c>
      <c r="I90" s="1" t="str">
        <f t="shared" si="4"/>
        <v>Other</v>
      </c>
      <c r="J90" s="1" t="str" cm="1">
        <f t="array" ref="J90">_xlfn.IFS(E90&gt;60000,"High",E90&gt;40000, "Medium", E90&lt;40000,"low")</f>
        <v>High</v>
      </c>
      <c r="K90" s="1" t="str">
        <f t="shared" si="5"/>
        <v>Average</v>
      </c>
    </row>
    <row r="91" spans="1:11" x14ac:dyDescent="0.3">
      <c r="A91" s="1">
        <v>1090</v>
      </c>
      <c r="B91" s="1" t="s">
        <v>25</v>
      </c>
      <c r="C91" s="1" t="s">
        <v>14</v>
      </c>
      <c r="D91" s="1" t="s">
        <v>15</v>
      </c>
      <c r="E91" s="1">
        <v>40271</v>
      </c>
      <c r="F91" s="1">
        <v>1664</v>
      </c>
      <c r="G91" s="24">
        <v>7</v>
      </c>
      <c r="H91" s="1" t="str">
        <f t="shared" si="3"/>
        <v>Junior</v>
      </c>
      <c r="I91" s="1" t="str">
        <f t="shared" si="4"/>
        <v>Other</v>
      </c>
      <c r="J91" s="1" t="str" cm="1">
        <f t="array" ref="J91">_xlfn.IFS(E91&gt;60000,"High",E91&gt;40000, "Medium", E91&lt;40000,"low")</f>
        <v>Medium</v>
      </c>
      <c r="K91" s="1" t="str">
        <f t="shared" si="5"/>
        <v>Average</v>
      </c>
    </row>
    <row r="92" spans="1:11" x14ac:dyDescent="0.3">
      <c r="A92" s="1">
        <v>1091</v>
      </c>
      <c r="B92" s="1" t="s">
        <v>31</v>
      </c>
      <c r="C92" s="1" t="s">
        <v>14</v>
      </c>
      <c r="D92" s="1" t="s">
        <v>12</v>
      </c>
      <c r="E92" s="1">
        <v>79161</v>
      </c>
      <c r="F92" s="1">
        <v>5186</v>
      </c>
      <c r="G92" s="24">
        <v>9</v>
      </c>
      <c r="H92" s="1" t="str">
        <f t="shared" si="3"/>
        <v>Senior</v>
      </c>
      <c r="I92" s="1" t="str">
        <f t="shared" si="4"/>
        <v>Other</v>
      </c>
      <c r="J92" s="1" t="str" cm="1">
        <f t="array" ref="J92">_xlfn.IFS(E92&gt;60000,"High",E92&gt;40000, "Medium", E92&lt;40000,"low")</f>
        <v>High</v>
      </c>
      <c r="K92" s="1" t="str">
        <f t="shared" si="5"/>
        <v>Average</v>
      </c>
    </row>
    <row r="93" spans="1:11" x14ac:dyDescent="0.3">
      <c r="A93" s="1">
        <v>1092</v>
      </c>
      <c r="B93" s="1" t="s">
        <v>24</v>
      </c>
      <c r="C93" s="1" t="s">
        <v>11</v>
      </c>
      <c r="D93" s="1" t="s">
        <v>9</v>
      </c>
      <c r="E93" s="1">
        <v>29387</v>
      </c>
      <c r="F93" s="1">
        <v>7882</v>
      </c>
      <c r="G93" s="24">
        <v>1</v>
      </c>
      <c r="H93" s="1" t="str">
        <f t="shared" si="3"/>
        <v>Junior</v>
      </c>
      <c r="I93" s="1" t="str">
        <f t="shared" si="4"/>
        <v>Main</v>
      </c>
      <c r="J93" s="1" t="str" cm="1">
        <f t="array" ref="J93">_xlfn.IFS(E93&gt;60000,"High",E93&gt;40000, "Medium", E93&lt;40000,"low")</f>
        <v>low</v>
      </c>
      <c r="K93" s="1" t="str">
        <f t="shared" si="5"/>
        <v>Average</v>
      </c>
    </row>
    <row r="94" spans="1:11" x14ac:dyDescent="0.3">
      <c r="A94" s="1">
        <v>1093</v>
      </c>
      <c r="B94" s="1" t="s">
        <v>29</v>
      </c>
      <c r="C94" s="1" t="s">
        <v>8</v>
      </c>
      <c r="D94" s="1" t="s">
        <v>9</v>
      </c>
      <c r="E94" s="1">
        <v>26353</v>
      </c>
      <c r="F94" s="1">
        <v>6268</v>
      </c>
      <c r="G94" s="24">
        <v>8</v>
      </c>
      <c r="H94" s="1" t="str">
        <f t="shared" si="3"/>
        <v>Junior</v>
      </c>
      <c r="I94" s="1" t="str">
        <f t="shared" si="4"/>
        <v>Main</v>
      </c>
      <c r="J94" s="1" t="str" cm="1">
        <f t="array" ref="J94">_xlfn.IFS(E94&gt;60000,"High",E94&gt;40000, "Medium", E94&lt;40000,"low")</f>
        <v>low</v>
      </c>
      <c r="K94" s="1" t="str">
        <f t="shared" si="5"/>
        <v>Average</v>
      </c>
    </row>
    <row r="95" spans="1:11" x14ac:dyDescent="0.3">
      <c r="A95" s="1">
        <v>1094</v>
      </c>
      <c r="B95" s="1" t="s">
        <v>23</v>
      </c>
      <c r="C95" s="1" t="s">
        <v>14</v>
      </c>
      <c r="D95" s="1" t="s">
        <v>21</v>
      </c>
      <c r="E95" s="1">
        <v>25298</v>
      </c>
      <c r="F95" s="1">
        <v>5540</v>
      </c>
      <c r="G95" s="24">
        <v>7</v>
      </c>
      <c r="H95" s="1" t="str">
        <f t="shared" si="3"/>
        <v>Junior</v>
      </c>
      <c r="I95" s="1" t="str">
        <f t="shared" si="4"/>
        <v>Main</v>
      </c>
      <c r="J95" s="1" t="str" cm="1">
        <f t="array" ref="J95">_xlfn.IFS(E95&gt;60000,"High",E95&gt;40000, "Medium", E95&lt;40000,"low")</f>
        <v>low</v>
      </c>
      <c r="K95" s="1" t="str">
        <f t="shared" si="5"/>
        <v>Average</v>
      </c>
    </row>
    <row r="96" spans="1:11" x14ac:dyDescent="0.3">
      <c r="A96" s="1">
        <v>1095</v>
      </c>
      <c r="B96" s="1" t="s">
        <v>32</v>
      </c>
      <c r="C96" s="1" t="s">
        <v>19</v>
      </c>
      <c r="D96" s="1" t="s">
        <v>21</v>
      </c>
      <c r="E96" s="1">
        <v>23230</v>
      </c>
      <c r="F96" s="1">
        <v>5570</v>
      </c>
      <c r="G96" s="24">
        <v>3</v>
      </c>
      <c r="H96" s="1" t="str">
        <f t="shared" si="3"/>
        <v>Junior</v>
      </c>
      <c r="I96" s="1" t="str">
        <f t="shared" si="4"/>
        <v>Main</v>
      </c>
      <c r="J96" s="1" t="str" cm="1">
        <f t="array" ref="J96">_xlfn.IFS(E96&gt;60000,"High",E96&gt;40000, "Medium", E96&lt;40000,"low")</f>
        <v>low</v>
      </c>
      <c r="K96" s="1" t="str">
        <f t="shared" si="5"/>
        <v>Average</v>
      </c>
    </row>
    <row r="97" spans="1:11" x14ac:dyDescent="0.3">
      <c r="A97" s="1">
        <v>1096</v>
      </c>
      <c r="B97" s="1" t="s">
        <v>31</v>
      </c>
      <c r="C97" s="1" t="s">
        <v>14</v>
      </c>
      <c r="D97" s="1" t="s">
        <v>9</v>
      </c>
      <c r="E97" s="1">
        <v>29456</v>
      </c>
      <c r="F97" s="1">
        <v>4321</v>
      </c>
      <c r="G97" s="24">
        <v>9</v>
      </c>
      <c r="H97" s="1" t="str">
        <f t="shared" si="3"/>
        <v>Junior</v>
      </c>
      <c r="I97" s="1" t="str">
        <f t="shared" si="4"/>
        <v>Main</v>
      </c>
      <c r="J97" s="1" t="str" cm="1">
        <f t="array" ref="J97">_xlfn.IFS(E97&gt;60000,"High",E97&gt;40000, "Medium", E97&lt;40000,"low")</f>
        <v>low</v>
      </c>
      <c r="K97" s="1" t="str">
        <f t="shared" si="5"/>
        <v>Average</v>
      </c>
    </row>
    <row r="98" spans="1:11" x14ac:dyDescent="0.3">
      <c r="A98" s="1">
        <v>1097</v>
      </c>
      <c r="B98" s="1" t="s">
        <v>22</v>
      </c>
      <c r="C98" s="1" t="s">
        <v>11</v>
      </c>
      <c r="D98" s="1" t="s">
        <v>9</v>
      </c>
      <c r="E98" s="1">
        <v>44707</v>
      </c>
      <c r="F98" s="1">
        <v>6435</v>
      </c>
      <c r="G98" s="24">
        <v>7</v>
      </c>
      <c r="H98" s="1" t="str">
        <f t="shared" si="3"/>
        <v>Junior</v>
      </c>
      <c r="I98" s="1" t="str">
        <f t="shared" si="4"/>
        <v>Main</v>
      </c>
      <c r="J98" s="1" t="str" cm="1">
        <f t="array" ref="J98">_xlfn.IFS(E98&gt;60000,"High",E98&gt;40000, "Medium", E98&lt;40000,"low")</f>
        <v>Medium</v>
      </c>
      <c r="K98" s="1" t="str">
        <f t="shared" si="5"/>
        <v>Average</v>
      </c>
    </row>
    <row r="99" spans="1:11" x14ac:dyDescent="0.3">
      <c r="A99" s="1">
        <v>1098</v>
      </c>
      <c r="B99" s="1" t="s">
        <v>16</v>
      </c>
      <c r="C99" s="1" t="s">
        <v>11</v>
      </c>
      <c r="D99" s="1" t="s">
        <v>12</v>
      </c>
      <c r="E99" s="1">
        <v>70947</v>
      </c>
      <c r="F99" s="1">
        <v>9984</v>
      </c>
      <c r="G99" s="24">
        <v>4</v>
      </c>
      <c r="H99" s="1" t="str">
        <f t="shared" si="3"/>
        <v>Junior</v>
      </c>
      <c r="I99" s="1" t="str">
        <f t="shared" si="4"/>
        <v>Other</v>
      </c>
      <c r="J99" s="1" t="str" cm="1">
        <f t="array" ref="J99">_xlfn.IFS(E99&gt;60000,"High",E99&gt;40000, "Medium", E99&lt;40000,"low")</f>
        <v>High</v>
      </c>
      <c r="K99" s="1" t="str">
        <f t="shared" si="5"/>
        <v>Good</v>
      </c>
    </row>
    <row r="100" spans="1:11" x14ac:dyDescent="0.3">
      <c r="A100" s="1">
        <v>1099</v>
      </c>
      <c r="B100" s="1" t="s">
        <v>18</v>
      </c>
      <c r="C100" s="1" t="s">
        <v>14</v>
      </c>
      <c r="D100" s="1" t="s">
        <v>21</v>
      </c>
      <c r="E100" s="1">
        <v>36465</v>
      </c>
      <c r="F100" s="1">
        <v>4576</v>
      </c>
      <c r="G100" s="24">
        <v>10</v>
      </c>
      <c r="H100" s="1" t="str">
        <f t="shared" si="3"/>
        <v>Junior</v>
      </c>
      <c r="I100" s="1" t="str">
        <f t="shared" si="4"/>
        <v>Main</v>
      </c>
      <c r="J100" s="1" t="str" cm="1">
        <f t="array" ref="J100">_xlfn.IFS(E100&gt;60000,"High",E100&gt;40000, "Medium", E100&lt;40000,"low")</f>
        <v>low</v>
      </c>
      <c r="K100" s="1" t="str">
        <f t="shared" si="5"/>
        <v>Average</v>
      </c>
    </row>
    <row r="101" spans="1:11" x14ac:dyDescent="0.3">
      <c r="A101" s="1">
        <v>1100</v>
      </c>
      <c r="B101" s="1" t="s">
        <v>25</v>
      </c>
      <c r="C101" s="1" t="s">
        <v>14</v>
      </c>
      <c r="D101" s="1" t="s">
        <v>21</v>
      </c>
      <c r="E101" s="1">
        <v>60782</v>
      </c>
      <c r="F101" s="1">
        <v>5399</v>
      </c>
      <c r="G101" s="24">
        <v>1</v>
      </c>
      <c r="H101" s="1" t="str">
        <f t="shared" si="3"/>
        <v>Junior</v>
      </c>
      <c r="I101" s="1" t="str">
        <f t="shared" si="4"/>
        <v>Main</v>
      </c>
      <c r="J101" s="1" t="str" cm="1">
        <f t="array" ref="J101">_xlfn.IFS(E101&gt;60000,"High",E101&gt;40000, "Medium", E101&lt;40000,"low")</f>
        <v>High</v>
      </c>
      <c r="K101" s="1" t="str">
        <f t="shared" si="5"/>
        <v>Average</v>
      </c>
    </row>
    <row r="102" spans="1:11" x14ac:dyDescent="0.3">
      <c r="A102" s="1">
        <v>1101</v>
      </c>
      <c r="B102" s="1" t="s">
        <v>18</v>
      </c>
      <c r="C102" s="1" t="s">
        <v>8</v>
      </c>
      <c r="D102" s="1" t="s">
        <v>9</v>
      </c>
      <c r="E102" s="1">
        <v>69179</v>
      </c>
      <c r="F102" s="1">
        <v>8309</v>
      </c>
      <c r="G102" s="24">
        <v>9</v>
      </c>
      <c r="H102" s="1" t="str">
        <f t="shared" si="3"/>
        <v>Senior</v>
      </c>
      <c r="I102" s="1" t="str">
        <f t="shared" si="4"/>
        <v>Main</v>
      </c>
      <c r="J102" s="1" t="str" cm="1">
        <f t="array" ref="J102">_xlfn.IFS(E102&gt;60000,"High",E102&gt;40000, "Medium", E102&lt;40000,"low")</f>
        <v>High</v>
      </c>
      <c r="K102" s="1" t="str">
        <f t="shared" si="5"/>
        <v>Good</v>
      </c>
    </row>
    <row r="103" spans="1:11" x14ac:dyDescent="0.3">
      <c r="A103" s="1">
        <v>1102</v>
      </c>
      <c r="B103" s="1" t="s">
        <v>24</v>
      </c>
      <c r="C103" s="1" t="s">
        <v>11</v>
      </c>
      <c r="D103" s="1" t="s">
        <v>21</v>
      </c>
      <c r="E103" s="1">
        <v>28278</v>
      </c>
      <c r="F103" s="1">
        <v>7093</v>
      </c>
      <c r="G103" s="24">
        <v>3</v>
      </c>
      <c r="H103" s="1" t="str">
        <f t="shared" si="3"/>
        <v>Junior</v>
      </c>
      <c r="I103" s="1" t="str">
        <f t="shared" si="4"/>
        <v>Main</v>
      </c>
      <c r="J103" s="1" t="str" cm="1">
        <f t="array" ref="J103">_xlfn.IFS(E103&gt;60000,"High",E103&gt;40000, "Medium", E103&lt;40000,"low")</f>
        <v>low</v>
      </c>
      <c r="K103" s="1" t="str">
        <f t="shared" si="5"/>
        <v>Average</v>
      </c>
    </row>
    <row r="104" spans="1:11" x14ac:dyDescent="0.3">
      <c r="A104" s="1">
        <v>1103</v>
      </c>
      <c r="B104" s="1" t="s">
        <v>17</v>
      </c>
      <c r="C104" s="1" t="s">
        <v>14</v>
      </c>
      <c r="D104" s="1" t="s">
        <v>15</v>
      </c>
      <c r="E104" s="1">
        <v>21588</v>
      </c>
      <c r="F104" s="1">
        <v>8420</v>
      </c>
      <c r="G104" s="24">
        <v>10</v>
      </c>
      <c r="H104" s="1" t="str">
        <f t="shared" si="3"/>
        <v>Junior</v>
      </c>
      <c r="I104" s="1" t="str">
        <f t="shared" si="4"/>
        <v>Other</v>
      </c>
      <c r="J104" s="1" t="str" cm="1">
        <f t="array" ref="J104">_xlfn.IFS(E104&gt;60000,"High",E104&gt;40000, "Medium", E104&lt;40000,"low")</f>
        <v>low</v>
      </c>
      <c r="K104" s="1" t="str">
        <f t="shared" si="5"/>
        <v>Average</v>
      </c>
    </row>
    <row r="105" spans="1:11" x14ac:dyDescent="0.3">
      <c r="A105" s="1">
        <v>1104</v>
      </c>
      <c r="B105" s="1" t="s">
        <v>7</v>
      </c>
      <c r="C105" s="1" t="s">
        <v>14</v>
      </c>
      <c r="D105" s="1" t="s">
        <v>15</v>
      </c>
      <c r="E105" s="1">
        <v>58257</v>
      </c>
      <c r="F105" s="1">
        <v>2551</v>
      </c>
      <c r="G105" s="24">
        <v>7</v>
      </c>
      <c r="H105" s="1" t="str">
        <f t="shared" si="3"/>
        <v>Senior</v>
      </c>
      <c r="I105" s="1" t="str">
        <f t="shared" si="4"/>
        <v>Other</v>
      </c>
      <c r="J105" s="1" t="str" cm="1">
        <f t="array" ref="J105">_xlfn.IFS(E105&gt;60000,"High",E105&gt;40000, "Medium", E105&lt;40000,"low")</f>
        <v>Medium</v>
      </c>
      <c r="K105" s="1" t="str">
        <f t="shared" si="5"/>
        <v>Good</v>
      </c>
    </row>
    <row r="106" spans="1:11" x14ac:dyDescent="0.3">
      <c r="A106" s="1">
        <v>1105</v>
      </c>
      <c r="B106" s="1" t="s">
        <v>20</v>
      </c>
      <c r="C106" s="1" t="s">
        <v>14</v>
      </c>
      <c r="D106" s="1" t="s">
        <v>12</v>
      </c>
      <c r="E106" s="1">
        <v>35113</v>
      </c>
      <c r="F106" s="1">
        <v>6766</v>
      </c>
      <c r="G106" s="24">
        <v>6</v>
      </c>
      <c r="H106" s="1" t="str">
        <f t="shared" si="3"/>
        <v>Junior</v>
      </c>
      <c r="I106" s="1" t="str">
        <f t="shared" si="4"/>
        <v>Other</v>
      </c>
      <c r="J106" s="1" t="str" cm="1">
        <f t="array" ref="J106">_xlfn.IFS(E106&gt;60000,"High",E106&gt;40000, "Medium", E106&lt;40000,"low")</f>
        <v>low</v>
      </c>
      <c r="K106" s="1" t="str">
        <f t="shared" si="5"/>
        <v>Average</v>
      </c>
    </row>
    <row r="107" spans="1:11" x14ac:dyDescent="0.3">
      <c r="A107" s="1">
        <v>1106</v>
      </c>
      <c r="B107" s="1" t="s">
        <v>28</v>
      </c>
      <c r="C107" s="1" t="s">
        <v>11</v>
      </c>
      <c r="D107" s="1" t="s">
        <v>21</v>
      </c>
      <c r="E107" s="1">
        <v>39364</v>
      </c>
      <c r="F107" s="1">
        <v>5237</v>
      </c>
      <c r="G107" s="24">
        <v>7</v>
      </c>
      <c r="H107" s="1" t="str">
        <f t="shared" si="3"/>
        <v>Junior</v>
      </c>
      <c r="I107" s="1" t="str">
        <f t="shared" si="4"/>
        <v>Main</v>
      </c>
      <c r="J107" s="1" t="str" cm="1">
        <f t="array" ref="J107">_xlfn.IFS(E107&gt;60000,"High",E107&gt;40000, "Medium", E107&lt;40000,"low")</f>
        <v>low</v>
      </c>
      <c r="K107" s="1" t="str">
        <f t="shared" si="5"/>
        <v>Average</v>
      </c>
    </row>
    <row r="108" spans="1:11" x14ac:dyDescent="0.3">
      <c r="A108" s="1">
        <v>1107</v>
      </c>
      <c r="B108" s="1" t="s">
        <v>24</v>
      </c>
      <c r="C108" s="1" t="s">
        <v>19</v>
      </c>
      <c r="D108" s="1" t="s">
        <v>21</v>
      </c>
      <c r="E108" s="1">
        <v>20025</v>
      </c>
      <c r="F108" s="1">
        <v>9889</v>
      </c>
      <c r="G108" s="24">
        <v>6</v>
      </c>
      <c r="H108" s="1" t="str">
        <f t="shared" si="3"/>
        <v>Junior</v>
      </c>
      <c r="I108" s="1" t="str">
        <f t="shared" si="4"/>
        <v>Main</v>
      </c>
      <c r="J108" s="1" t="str" cm="1">
        <f t="array" ref="J108">_xlfn.IFS(E108&gt;60000,"High",E108&gt;40000, "Medium", E108&lt;40000,"low")</f>
        <v>low</v>
      </c>
      <c r="K108" s="1" t="str">
        <f t="shared" si="5"/>
        <v>Average</v>
      </c>
    </row>
    <row r="109" spans="1:11" x14ac:dyDescent="0.3">
      <c r="A109" s="1">
        <v>1108</v>
      </c>
      <c r="B109" s="1" t="s">
        <v>27</v>
      </c>
      <c r="C109" s="1" t="s">
        <v>19</v>
      </c>
      <c r="D109" s="1" t="s">
        <v>12</v>
      </c>
      <c r="E109" s="1">
        <v>32604</v>
      </c>
      <c r="F109" s="1">
        <v>9062</v>
      </c>
      <c r="G109" s="24">
        <v>1</v>
      </c>
      <c r="H109" s="1" t="str">
        <f t="shared" si="3"/>
        <v>Junior</v>
      </c>
      <c r="I109" s="1" t="str">
        <f t="shared" si="4"/>
        <v>Other</v>
      </c>
      <c r="J109" s="1" t="str" cm="1">
        <f t="array" ref="J109">_xlfn.IFS(E109&gt;60000,"High",E109&gt;40000, "Medium", E109&lt;40000,"low")</f>
        <v>low</v>
      </c>
      <c r="K109" s="1" t="str">
        <f t="shared" si="5"/>
        <v>Average</v>
      </c>
    </row>
    <row r="110" spans="1:11" x14ac:dyDescent="0.3">
      <c r="A110" s="1">
        <v>1109</v>
      </c>
      <c r="B110" s="1" t="s">
        <v>31</v>
      </c>
      <c r="C110" s="1" t="s">
        <v>19</v>
      </c>
      <c r="D110" s="1" t="s">
        <v>21</v>
      </c>
      <c r="E110" s="1">
        <v>20876</v>
      </c>
      <c r="F110" s="1">
        <v>4076</v>
      </c>
      <c r="G110" s="24">
        <v>8</v>
      </c>
      <c r="H110" s="1" t="str">
        <f t="shared" si="3"/>
        <v>Junior</v>
      </c>
      <c r="I110" s="1" t="str">
        <f t="shared" si="4"/>
        <v>Main</v>
      </c>
      <c r="J110" s="1" t="str" cm="1">
        <f t="array" ref="J110">_xlfn.IFS(E110&gt;60000,"High",E110&gt;40000, "Medium", E110&lt;40000,"low")</f>
        <v>low</v>
      </c>
      <c r="K110" s="1" t="str">
        <f t="shared" si="5"/>
        <v>Average</v>
      </c>
    </row>
    <row r="111" spans="1:11" x14ac:dyDescent="0.3">
      <c r="A111" s="1">
        <v>1110</v>
      </c>
      <c r="B111" s="1" t="s">
        <v>31</v>
      </c>
      <c r="C111" s="1" t="s">
        <v>14</v>
      </c>
      <c r="D111" s="1" t="s">
        <v>12</v>
      </c>
      <c r="E111" s="1">
        <v>56776</v>
      </c>
      <c r="F111" s="1">
        <v>1203</v>
      </c>
      <c r="G111" s="24">
        <v>10</v>
      </c>
      <c r="H111" s="1" t="str">
        <f t="shared" si="3"/>
        <v>Senior</v>
      </c>
      <c r="I111" s="1" t="str">
        <f t="shared" si="4"/>
        <v>Other</v>
      </c>
      <c r="J111" s="1" t="str" cm="1">
        <f t="array" ref="J111">_xlfn.IFS(E111&gt;60000,"High",E111&gt;40000, "Medium", E111&lt;40000,"low")</f>
        <v>Medium</v>
      </c>
      <c r="K111" s="1" t="str">
        <f t="shared" si="5"/>
        <v>Average</v>
      </c>
    </row>
    <row r="112" spans="1:11" x14ac:dyDescent="0.3">
      <c r="A112" s="1">
        <v>1111</v>
      </c>
      <c r="B112" s="1" t="s">
        <v>10</v>
      </c>
      <c r="C112" s="1" t="s">
        <v>19</v>
      </c>
      <c r="D112" s="1" t="s">
        <v>12</v>
      </c>
      <c r="E112" s="1">
        <v>23817</v>
      </c>
      <c r="F112" s="1">
        <v>6841</v>
      </c>
      <c r="G112" s="24">
        <v>1</v>
      </c>
      <c r="H112" s="1" t="str">
        <f t="shared" si="3"/>
        <v>Junior</v>
      </c>
      <c r="I112" s="1" t="str">
        <f t="shared" si="4"/>
        <v>Other</v>
      </c>
      <c r="J112" s="1" t="str" cm="1">
        <f t="array" ref="J112">_xlfn.IFS(E112&gt;60000,"High",E112&gt;40000, "Medium", E112&lt;40000,"low")</f>
        <v>low</v>
      </c>
      <c r="K112" s="1" t="str">
        <f t="shared" si="5"/>
        <v>Average</v>
      </c>
    </row>
    <row r="113" spans="1:11" x14ac:dyDescent="0.3">
      <c r="A113" s="1">
        <v>1112</v>
      </c>
      <c r="B113" s="1" t="s">
        <v>28</v>
      </c>
      <c r="C113" s="1" t="s">
        <v>14</v>
      </c>
      <c r="D113" s="1" t="s">
        <v>9</v>
      </c>
      <c r="E113" s="1">
        <v>30085</v>
      </c>
      <c r="F113" s="1">
        <v>1516</v>
      </c>
      <c r="G113" s="24">
        <v>10</v>
      </c>
      <c r="H113" s="1" t="str">
        <f t="shared" si="3"/>
        <v>Junior</v>
      </c>
      <c r="I113" s="1" t="str">
        <f t="shared" si="4"/>
        <v>Main</v>
      </c>
      <c r="J113" s="1" t="str" cm="1">
        <f t="array" ref="J113">_xlfn.IFS(E113&gt;60000,"High",E113&gt;40000, "Medium", E113&lt;40000,"low")</f>
        <v>low</v>
      </c>
      <c r="K113" s="1" t="str">
        <f t="shared" si="5"/>
        <v>Average</v>
      </c>
    </row>
    <row r="114" spans="1:11" x14ac:dyDescent="0.3">
      <c r="A114" s="1">
        <v>1113</v>
      </c>
      <c r="B114" s="1" t="s">
        <v>34</v>
      </c>
      <c r="C114" s="1" t="s">
        <v>8</v>
      </c>
      <c r="D114" s="1" t="s">
        <v>12</v>
      </c>
      <c r="E114" s="1">
        <v>78637</v>
      </c>
      <c r="F114" s="1">
        <v>9118</v>
      </c>
      <c r="G114" s="24">
        <v>4</v>
      </c>
      <c r="H114" s="1" t="str">
        <f t="shared" si="3"/>
        <v>Junior</v>
      </c>
      <c r="I114" s="1" t="str">
        <f t="shared" si="4"/>
        <v>Other</v>
      </c>
      <c r="J114" s="1" t="str" cm="1">
        <f t="array" ref="J114">_xlfn.IFS(E114&gt;60000,"High",E114&gt;40000, "Medium", E114&lt;40000,"low")</f>
        <v>High</v>
      </c>
      <c r="K114" s="1" t="str">
        <f t="shared" si="5"/>
        <v>Average</v>
      </c>
    </row>
    <row r="115" spans="1:11" x14ac:dyDescent="0.3">
      <c r="A115" s="1">
        <v>1114</v>
      </c>
      <c r="B115" s="1" t="s">
        <v>27</v>
      </c>
      <c r="C115" s="1" t="s">
        <v>14</v>
      </c>
      <c r="D115" s="1" t="s">
        <v>12</v>
      </c>
      <c r="E115" s="1">
        <v>78931</v>
      </c>
      <c r="F115" s="1">
        <v>1218</v>
      </c>
      <c r="G115" s="24">
        <v>3</v>
      </c>
      <c r="H115" s="1" t="str">
        <f t="shared" si="3"/>
        <v>Junior</v>
      </c>
      <c r="I115" s="1" t="str">
        <f t="shared" si="4"/>
        <v>Other</v>
      </c>
      <c r="J115" s="1" t="str" cm="1">
        <f t="array" ref="J115">_xlfn.IFS(E115&gt;60000,"High",E115&gt;40000, "Medium", E115&lt;40000,"low")</f>
        <v>High</v>
      </c>
      <c r="K115" s="1" t="str">
        <f t="shared" si="5"/>
        <v>Good</v>
      </c>
    </row>
    <row r="116" spans="1:11" x14ac:dyDescent="0.3">
      <c r="A116" s="1">
        <v>1115</v>
      </c>
      <c r="B116" s="1" t="s">
        <v>10</v>
      </c>
      <c r="C116" s="1" t="s">
        <v>19</v>
      </c>
      <c r="D116" s="1" t="s">
        <v>15</v>
      </c>
      <c r="E116" s="1">
        <v>29392</v>
      </c>
      <c r="F116" s="1">
        <v>8527</v>
      </c>
      <c r="G116" s="24">
        <v>5</v>
      </c>
      <c r="H116" s="1" t="str">
        <f t="shared" si="3"/>
        <v>Junior</v>
      </c>
      <c r="I116" s="1" t="str">
        <f t="shared" si="4"/>
        <v>Other</v>
      </c>
      <c r="J116" s="1" t="str" cm="1">
        <f t="array" ref="J116">_xlfn.IFS(E116&gt;60000,"High",E116&gt;40000, "Medium", E116&lt;40000,"low")</f>
        <v>low</v>
      </c>
      <c r="K116" s="1" t="str">
        <f t="shared" si="5"/>
        <v>Average</v>
      </c>
    </row>
    <row r="117" spans="1:11" x14ac:dyDescent="0.3">
      <c r="A117" s="1">
        <v>1116</v>
      </c>
      <c r="B117" s="1" t="s">
        <v>22</v>
      </c>
      <c r="C117" s="1" t="s">
        <v>14</v>
      </c>
      <c r="D117" s="1" t="s">
        <v>15</v>
      </c>
      <c r="E117" s="1">
        <v>28276</v>
      </c>
      <c r="F117" s="1">
        <v>5914</v>
      </c>
      <c r="G117" s="24">
        <v>4</v>
      </c>
      <c r="H117" s="1" t="str">
        <f t="shared" si="3"/>
        <v>Junior</v>
      </c>
      <c r="I117" s="1" t="str">
        <f t="shared" si="4"/>
        <v>Other</v>
      </c>
      <c r="J117" s="1" t="str" cm="1">
        <f t="array" ref="J117">_xlfn.IFS(E117&gt;60000,"High",E117&gt;40000, "Medium", E117&lt;40000,"low")</f>
        <v>low</v>
      </c>
      <c r="K117" s="1" t="str">
        <f t="shared" si="5"/>
        <v>Average</v>
      </c>
    </row>
    <row r="118" spans="1:11" x14ac:dyDescent="0.3">
      <c r="A118" s="1">
        <v>1117</v>
      </c>
      <c r="B118" s="1" t="s">
        <v>26</v>
      </c>
      <c r="C118" s="1" t="s">
        <v>8</v>
      </c>
      <c r="D118" s="1" t="s">
        <v>9</v>
      </c>
      <c r="E118" s="1">
        <v>38807</v>
      </c>
      <c r="F118" s="1">
        <v>9823</v>
      </c>
      <c r="G118" s="24">
        <v>3</v>
      </c>
      <c r="H118" s="1" t="str">
        <f t="shared" si="3"/>
        <v>Junior</v>
      </c>
      <c r="I118" s="1" t="str">
        <f t="shared" si="4"/>
        <v>Main</v>
      </c>
      <c r="J118" s="1" t="str" cm="1">
        <f t="array" ref="J118">_xlfn.IFS(E118&gt;60000,"High",E118&gt;40000, "Medium", E118&lt;40000,"low")</f>
        <v>low</v>
      </c>
      <c r="K118" s="1" t="str">
        <f t="shared" si="5"/>
        <v>Average</v>
      </c>
    </row>
    <row r="119" spans="1:11" x14ac:dyDescent="0.3">
      <c r="A119" s="1">
        <v>1118</v>
      </c>
      <c r="B119" s="1" t="s">
        <v>13</v>
      </c>
      <c r="C119" s="1" t="s">
        <v>19</v>
      </c>
      <c r="D119" s="1" t="s">
        <v>21</v>
      </c>
      <c r="E119" s="1">
        <v>33487</v>
      </c>
      <c r="F119" s="1">
        <v>4839</v>
      </c>
      <c r="G119" s="24">
        <v>2</v>
      </c>
      <c r="H119" s="1" t="str">
        <f t="shared" si="3"/>
        <v>Junior</v>
      </c>
      <c r="I119" s="1" t="str">
        <f t="shared" si="4"/>
        <v>Main</v>
      </c>
      <c r="J119" s="1" t="str" cm="1">
        <f t="array" ref="J119">_xlfn.IFS(E119&gt;60000,"High",E119&gt;40000, "Medium", E119&lt;40000,"low")</f>
        <v>low</v>
      </c>
      <c r="K119" s="1" t="str">
        <f t="shared" si="5"/>
        <v>Average</v>
      </c>
    </row>
    <row r="120" spans="1:11" x14ac:dyDescent="0.3">
      <c r="A120" s="1">
        <v>1119</v>
      </c>
      <c r="B120" s="1" t="s">
        <v>29</v>
      </c>
      <c r="C120" s="1" t="s">
        <v>19</v>
      </c>
      <c r="D120" s="1" t="s">
        <v>9</v>
      </c>
      <c r="E120" s="1">
        <v>25317</v>
      </c>
      <c r="F120" s="1">
        <v>4802</v>
      </c>
      <c r="G120" s="24">
        <v>6</v>
      </c>
      <c r="H120" s="1" t="str">
        <f t="shared" si="3"/>
        <v>Junior</v>
      </c>
      <c r="I120" s="1" t="str">
        <f t="shared" si="4"/>
        <v>Main</v>
      </c>
      <c r="J120" s="1" t="str" cm="1">
        <f t="array" ref="J120">_xlfn.IFS(E120&gt;60000,"High",E120&gt;40000, "Medium", E120&lt;40000,"low")</f>
        <v>low</v>
      </c>
      <c r="K120" s="1" t="str">
        <f t="shared" si="5"/>
        <v>Average</v>
      </c>
    </row>
    <row r="121" spans="1:11" x14ac:dyDescent="0.3">
      <c r="A121" s="1">
        <v>1120</v>
      </c>
      <c r="B121" s="1" t="s">
        <v>28</v>
      </c>
      <c r="C121" s="1" t="s">
        <v>8</v>
      </c>
      <c r="D121" s="1" t="s">
        <v>9</v>
      </c>
      <c r="E121" s="1">
        <v>28287</v>
      </c>
      <c r="F121" s="1">
        <v>8969</v>
      </c>
      <c r="G121" s="24">
        <v>7</v>
      </c>
      <c r="H121" s="1" t="str">
        <f t="shared" si="3"/>
        <v>Junior</v>
      </c>
      <c r="I121" s="1" t="str">
        <f t="shared" si="4"/>
        <v>Main</v>
      </c>
      <c r="J121" s="1" t="str" cm="1">
        <f t="array" ref="J121">_xlfn.IFS(E121&gt;60000,"High",E121&gt;40000, "Medium", E121&lt;40000,"low")</f>
        <v>low</v>
      </c>
      <c r="K121" s="1" t="str">
        <f t="shared" si="5"/>
        <v>Average</v>
      </c>
    </row>
    <row r="122" spans="1:11" x14ac:dyDescent="0.3">
      <c r="A122" s="1">
        <v>1121</v>
      </c>
      <c r="B122" s="1" t="s">
        <v>29</v>
      </c>
      <c r="C122" s="1" t="s">
        <v>19</v>
      </c>
      <c r="D122" s="1" t="s">
        <v>21</v>
      </c>
      <c r="E122" s="1">
        <v>35399</v>
      </c>
      <c r="F122" s="1">
        <v>9317</v>
      </c>
      <c r="G122" s="24">
        <v>8</v>
      </c>
      <c r="H122" s="1" t="str">
        <f t="shared" si="3"/>
        <v>Junior</v>
      </c>
      <c r="I122" s="1" t="str">
        <f t="shared" si="4"/>
        <v>Main</v>
      </c>
      <c r="J122" s="1" t="str" cm="1">
        <f t="array" ref="J122">_xlfn.IFS(E122&gt;60000,"High",E122&gt;40000, "Medium", E122&lt;40000,"low")</f>
        <v>low</v>
      </c>
      <c r="K122" s="1" t="str">
        <f t="shared" si="5"/>
        <v>Average</v>
      </c>
    </row>
    <row r="123" spans="1:11" x14ac:dyDescent="0.3">
      <c r="A123" s="1">
        <v>1122</v>
      </c>
      <c r="B123" s="1" t="s">
        <v>24</v>
      </c>
      <c r="C123" s="1" t="s">
        <v>14</v>
      </c>
      <c r="D123" s="1" t="s">
        <v>15</v>
      </c>
      <c r="E123" s="1">
        <v>46599</v>
      </c>
      <c r="F123" s="1">
        <v>4074</v>
      </c>
      <c r="G123" s="24">
        <v>10</v>
      </c>
      <c r="H123" s="1" t="str">
        <f t="shared" si="3"/>
        <v>Junior</v>
      </c>
      <c r="I123" s="1" t="str">
        <f t="shared" si="4"/>
        <v>Other</v>
      </c>
      <c r="J123" s="1" t="str" cm="1">
        <f t="array" ref="J123">_xlfn.IFS(E123&gt;60000,"High",E123&gt;40000, "Medium", E123&lt;40000,"low")</f>
        <v>Medium</v>
      </c>
      <c r="K123" s="1" t="str">
        <f t="shared" si="5"/>
        <v>Average</v>
      </c>
    </row>
    <row r="124" spans="1:11" x14ac:dyDescent="0.3">
      <c r="A124" s="1">
        <v>1123</v>
      </c>
      <c r="B124" s="1" t="s">
        <v>20</v>
      </c>
      <c r="C124" s="1" t="s">
        <v>11</v>
      </c>
      <c r="D124" s="1" t="s">
        <v>12</v>
      </c>
      <c r="E124" s="1">
        <v>59734</v>
      </c>
      <c r="F124" s="1">
        <v>3246</v>
      </c>
      <c r="G124" s="24">
        <v>5</v>
      </c>
      <c r="H124" s="1" t="str">
        <f t="shared" si="3"/>
        <v>Junior</v>
      </c>
      <c r="I124" s="1" t="str">
        <f t="shared" si="4"/>
        <v>Other</v>
      </c>
      <c r="J124" s="1" t="str" cm="1">
        <f t="array" ref="J124">_xlfn.IFS(E124&gt;60000,"High",E124&gt;40000, "Medium", E124&lt;40000,"low")</f>
        <v>Medium</v>
      </c>
      <c r="K124" s="1" t="str">
        <f t="shared" si="5"/>
        <v>Average</v>
      </c>
    </row>
    <row r="125" spans="1:11" x14ac:dyDescent="0.3">
      <c r="A125" s="1">
        <v>1124</v>
      </c>
      <c r="B125" s="1" t="s">
        <v>22</v>
      </c>
      <c r="C125" s="1" t="s">
        <v>8</v>
      </c>
      <c r="D125" s="1" t="s">
        <v>12</v>
      </c>
      <c r="E125" s="1">
        <v>25152</v>
      </c>
      <c r="F125" s="1">
        <v>5992</v>
      </c>
      <c r="G125" s="24">
        <v>1</v>
      </c>
      <c r="H125" s="1" t="str">
        <f t="shared" si="3"/>
        <v>Junior</v>
      </c>
      <c r="I125" s="1" t="str">
        <f t="shared" si="4"/>
        <v>Other</v>
      </c>
      <c r="J125" s="1" t="str" cm="1">
        <f t="array" ref="J125">_xlfn.IFS(E125&gt;60000,"High",E125&gt;40000, "Medium", E125&lt;40000,"low")</f>
        <v>low</v>
      </c>
      <c r="K125" s="1" t="str">
        <f t="shared" si="5"/>
        <v>Average</v>
      </c>
    </row>
    <row r="126" spans="1:11" x14ac:dyDescent="0.3">
      <c r="A126" s="1">
        <v>1125</v>
      </c>
      <c r="B126" s="1" t="s">
        <v>32</v>
      </c>
      <c r="C126" s="1" t="s">
        <v>11</v>
      </c>
      <c r="D126" s="1" t="s">
        <v>21</v>
      </c>
      <c r="E126" s="1">
        <v>38456</v>
      </c>
      <c r="F126" s="1">
        <v>2384</v>
      </c>
      <c r="G126" s="24">
        <v>9</v>
      </c>
      <c r="H126" s="1" t="str">
        <f t="shared" si="3"/>
        <v>Junior</v>
      </c>
      <c r="I126" s="1" t="str">
        <f t="shared" si="4"/>
        <v>Main</v>
      </c>
      <c r="J126" s="1" t="str" cm="1">
        <f t="array" ref="J126">_xlfn.IFS(E126&gt;60000,"High",E126&gt;40000, "Medium", E126&lt;40000,"low")</f>
        <v>low</v>
      </c>
      <c r="K126" s="1" t="str">
        <f t="shared" si="5"/>
        <v>Average</v>
      </c>
    </row>
    <row r="127" spans="1:11" x14ac:dyDescent="0.3">
      <c r="A127" s="1">
        <v>1126</v>
      </c>
      <c r="B127" s="1" t="s">
        <v>13</v>
      </c>
      <c r="C127" s="1" t="s">
        <v>11</v>
      </c>
      <c r="D127" s="1" t="s">
        <v>15</v>
      </c>
      <c r="E127" s="1">
        <v>71495</v>
      </c>
      <c r="F127" s="1">
        <v>5935</v>
      </c>
      <c r="G127" s="24">
        <v>5</v>
      </c>
      <c r="H127" s="1" t="str">
        <f t="shared" si="3"/>
        <v>Junior</v>
      </c>
      <c r="I127" s="1" t="str">
        <f t="shared" si="4"/>
        <v>Other</v>
      </c>
      <c r="J127" s="1" t="str" cm="1">
        <f t="array" ref="J127">_xlfn.IFS(E127&gt;60000,"High",E127&gt;40000, "Medium", E127&lt;40000,"low")</f>
        <v>High</v>
      </c>
      <c r="K127" s="1" t="str">
        <f t="shared" si="5"/>
        <v>Average</v>
      </c>
    </row>
    <row r="128" spans="1:11" x14ac:dyDescent="0.3">
      <c r="A128" s="1">
        <v>1127</v>
      </c>
      <c r="B128" s="1" t="s">
        <v>20</v>
      </c>
      <c r="C128" s="1" t="s">
        <v>8</v>
      </c>
      <c r="D128" s="1" t="s">
        <v>9</v>
      </c>
      <c r="E128" s="1">
        <v>77769</v>
      </c>
      <c r="F128" s="1">
        <v>1746</v>
      </c>
      <c r="G128" s="24">
        <v>9</v>
      </c>
      <c r="H128" s="1" t="str">
        <f t="shared" si="3"/>
        <v>Senior</v>
      </c>
      <c r="I128" s="1" t="str">
        <f t="shared" si="4"/>
        <v>Main</v>
      </c>
      <c r="J128" s="1" t="str" cm="1">
        <f t="array" ref="J128">_xlfn.IFS(E128&gt;60000,"High",E128&gt;40000, "Medium", E128&lt;40000,"low")</f>
        <v>High</v>
      </c>
      <c r="K128" s="1" t="str">
        <f t="shared" si="5"/>
        <v>Good</v>
      </c>
    </row>
    <row r="129" spans="1:11" x14ac:dyDescent="0.3">
      <c r="A129" s="1">
        <v>1128</v>
      </c>
      <c r="B129" s="1" t="s">
        <v>7</v>
      </c>
      <c r="C129" s="1" t="s">
        <v>8</v>
      </c>
      <c r="D129" s="1" t="s">
        <v>9</v>
      </c>
      <c r="E129" s="1">
        <v>31202</v>
      </c>
      <c r="F129" s="1">
        <v>6127</v>
      </c>
      <c r="G129" s="24">
        <v>4</v>
      </c>
      <c r="H129" s="1" t="str">
        <f t="shared" si="3"/>
        <v>Junior</v>
      </c>
      <c r="I129" s="1" t="str">
        <f t="shared" si="4"/>
        <v>Main</v>
      </c>
      <c r="J129" s="1" t="str" cm="1">
        <f t="array" ref="J129">_xlfn.IFS(E129&gt;60000,"High",E129&gt;40000, "Medium", E129&lt;40000,"low")</f>
        <v>low</v>
      </c>
      <c r="K129" s="1" t="str">
        <f t="shared" si="5"/>
        <v>Average</v>
      </c>
    </row>
    <row r="130" spans="1:11" x14ac:dyDescent="0.3">
      <c r="A130" s="1">
        <v>1129</v>
      </c>
      <c r="B130" s="1" t="s">
        <v>30</v>
      </c>
      <c r="C130" s="1" t="s">
        <v>11</v>
      </c>
      <c r="D130" s="1" t="s">
        <v>12</v>
      </c>
      <c r="E130" s="1">
        <v>32732</v>
      </c>
      <c r="F130" s="1">
        <v>7132</v>
      </c>
      <c r="G130" s="24">
        <v>2</v>
      </c>
      <c r="H130" s="1" t="str">
        <f t="shared" si="3"/>
        <v>Junior</v>
      </c>
      <c r="I130" s="1" t="str">
        <f t="shared" si="4"/>
        <v>Other</v>
      </c>
      <c r="J130" s="1" t="str" cm="1">
        <f t="array" ref="J130">_xlfn.IFS(E130&gt;60000,"High",E130&gt;40000, "Medium", E130&lt;40000,"low")</f>
        <v>low</v>
      </c>
      <c r="K130" s="1" t="str">
        <f t="shared" si="5"/>
        <v>Average</v>
      </c>
    </row>
    <row r="131" spans="1:11" x14ac:dyDescent="0.3">
      <c r="A131" s="1">
        <v>1130</v>
      </c>
      <c r="B131" s="1" t="s">
        <v>32</v>
      </c>
      <c r="C131" s="1" t="s">
        <v>11</v>
      </c>
      <c r="D131" s="1" t="s">
        <v>9</v>
      </c>
      <c r="E131" s="1">
        <v>62701</v>
      </c>
      <c r="F131" s="1">
        <v>9881</v>
      </c>
      <c r="G131" s="24">
        <v>6</v>
      </c>
      <c r="H131" s="1" t="str">
        <f t="shared" ref="H131:H194" si="6">IF(AND(E131&gt;50000,G131&gt;5),"Senior", "Junior")</f>
        <v>Senior</v>
      </c>
      <c r="I131" s="1" t="str">
        <f t="shared" ref="I131:I194" si="7">IF(OR(D131="South",D131="North"), "Main", "Other")</f>
        <v>Main</v>
      </c>
      <c r="J131" s="1" t="str" cm="1">
        <f t="array" ref="J131">_xlfn.IFS(E131&gt;60000,"High",E131&gt;40000, "Medium", E131&lt;40000,"low")</f>
        <v>High</v>
      </c>
      <c r="K131" s="1" t="str">
        <f t="shared" ref="K131:K194" si="8">IF(AND(E131&gt;50000,F130&gt;5000),"Good", "Average")</f>
        <v>Good</v>
      </c>
    </row>
    <row r="132" spans="1:11" x14ac:dyDescent="0.3">
      <c r="A132" s="1">
        <v>1131</v>
      </c>
      <c r="B132" s="1" t="s">
        <v>24</v>
      </c>
      <c r="C132" s="1" t="s">
        <v>14</v>
      </c>
      <c r="D132" s="1" t="s">
        <v>9</v>
      </c>
      <c r="E132" s="1">
        <v>43824</v>
      </c>
      <c r="F132" s="1">
        <v>3196</v>
      </c>
      <c r="G132" s="24">
        <v>2</v>
      </c>
      <c r="H132" s="1" t="str">
        <f t="shared" si="6"/>
        <v>Junior</v>
      </c>
      <c r="I132" s="1" t="str">
        <f t="shared" si="7"/>
        <v>Main</v>
      </c>
      <c r="J132" s="1" t="str" cm="1">
        <f t="array" ref="J132">_xlfn.IFS(E132&gt;60000,"High",E132&gt;40000, "Medium", E132&lt;40000,"low")</f>
        <v>Medium</v>
      </c>
      <c r="K132" s="1" t="str">
        <f t="shared" si="8"/>
        <v>Average</v>
      </c>
    </row>
    <row r="133" spans="1:11" x14ac:dyDescent="0.3">
      <c r="A133" s="1">
        <v>1132</v>
      </c>
      <c r="B133" s="1" t="s">
        <v>13</v>
      </c>
      <c r="C133" s="1" t="s">
        <v>8</v>
      </c>
      <c r="D133" s="1" t="s">
        <v>9</v>
      </c>
      <c r="E133" s="1">
        <v>70362</v>
      </c>
      <c r="F133" s="1">
        <v>5310</v>
      </c>
      <c r="G133" s="24">
        <v>6</v>
      </c>
      <c r="H133" s="1" t="str">
        <f t="shared" si="6"/>
        <v>Senior</v>
      </c>
      <c r="I133" s="1" t="str">
        <f t="shared" si="7"/>
        <v>Main</v>
      </c>
      <c r="J133" s="1" t="str" cm="1">
        <f t="array" ref="J133">_xlfn.IFS(E133&gt;60000,"High",E133&gt;40000, "Medium", E133&lt;40000,"low")</f>
        <v>High</v>
      </c>
      <c r="K133" s="1" t="str">
        <f t="shared" si="8"/>
        <v>Average</v>
      </c>
    </row>
    <row r="134" spans="1:11" x14ac:dyDescent="0.3">
      <c r="A134" s="1">
        <v>1133</v>
      </c>
      <c r="B134" s="1" t="s">
        <v>18</v>
      </c>
      <c r="C134" s="1" t="s">
        <v>19</v>
      </c>
      <c r="D134" s="1" t="s">
        <v>9</v>
      </c>
      <c r="E134" s="1">
        <v>66281</v>
      </c>
      <c r="F134" s="1">
        <v>9057</v>
      </c>
      <c r="G134" s="24">
        <v>9</v>
      </c>
      <c r="H134" s="1" t="str">
        <f t="shared" si="6"/>
        <v>Senior</v>
      </c>
      <c r="I134" s="1" t="str">
        <f t="shared" si="7"/>
        <v>Main</v>
      </c>
      <c r="J134" s="1" t="str" cm="1">
        <f t="array" ref="J134">_xlfn.IFS(E134&gt;60000,"High",E134&gt;40000, "Medium", E134&lt;40000,"low")</f>
        <v>High</v>
      </c>
      <c r="K134" s="1" t="str">
        <f t="shared" si="8"/>
        <v>Good</v>
      </c>
    </row>
    <row r="135" spans="1:11" x14ac:dyDescent="0.3">
      <c r="A135" s="1">
        <v>1134</v>
      </c>
      <c r="B135" s="1" t="s">
        <v>20</v>
      </c>
      <c r="C135" s="1" t="s">
        <v>11</v>
      </c>
      <c r="D135" s="1" t="s">
        <v>15</v>
      </c>
      <c r="E135" s="1">
        <v>62150</v>
      </c>
      <c r="F135" s="1">
        <v>5194</v>
      </c>
      <c r="G135" s="24">
        <v>5</v>
      </c>
      <c r="H135" s="1" t="str">
        <f t="shared" si="6"/>
        <v>Junior</v>
      </c>
      <c r="I135" s="1" t="str">
        <f t="shared" si="7"/>
        <v>Other</v>
      </c>
      <c r="J135" s="1" t="str" cm="1">
        <f t="array" ref="J135">_xlfn.IFS(E135&gt;60000,"High",E135&gt;40000, "Medium", E135&lt;40000,"low")</f>
        <v>High</v>
      </c>
      <c r="K135" s="1" t="str">
        <f t="shared" si="8"/>
        <v>Good</v>
      </c>
    </row>
    <row r="136" spans="1:11" x14ac:dyDescent="0.3">
      <c r="A136" s="1">
        <v>1135</v>
      </c>
      <c r="B136" s="1" t="s">
        <v>29</v>
      </c>
      <c r="C136" s="1" t="s">
        <v>14</v>
      </c>
      <c r="D136" s="1" t="s">
        <v>15</v>
      </c>
      <c r="E136" s="1">
        <v>68466</v>
      </c>
      <c r="F136" s="1">
        <v>7926</v>
      </c>
      <c r="G136" s="24">
        <v>6</v>
      </c>
      <c r="H136" s="1" t="str">
        <f t="shared" si="6"/>
        <v>Senior</v>
      </c>
      <c r="I136" s="1" t="str">
        <f t="shared" si="7"/>
        <v>Other</v>
      </c>
      <c r="J136" s="1" t="str" cm="1">
        <f t="array" ref="J136">_xlfn.IFS(E136&gt;60000,"High",E136&gt;40000, "Medium", E136&lt;40000,"low")</f>
        <v>High</v>
      </c>
      <c r="K136" s="1" t="str">
        <f t="shared" si="8"/>
        <v>Good</v>
      </c>
    </row>
    <row r="137" spans="1:11" x14ac:dyDescent="0.3">
      <c r="A137" s="1">
        <v>1136</v>
      </c>
      <c r="B137" s="1" t="s">
        <v>24</v>
      </c>
      <c r="C137" s="1" t="s">
        <v>11</v>
      </c>
      <c r="D137" s="1" t="s">
        <v>12</v>
      </c>
      <c r="E137" s="1">
        <v>35905</v>
      </c>
      <c r="F137" s="1">
        <v>8168</v>
      </c>
      <c r="G137" s="24">
        <v>5</v>
      </c>
      <c r="H137" s="1" t="str">
        <f t="shared" si="6"/>
        <v>Junior</v>
      </c>
      <c r="I137" s="1" t="str">
        <f t="shared" si="7"/>
        <v>Other</v>
      </c>
      <c r="J137" s="1" t="str" cm="1">
        <f t="array" ref="J137">_xlfn.IFS(E137&gt;60000,"High",E137&gt;40000, "Medium", E137&lt;40000,"low")</f>
        <v>low</v>
      </c>
      <c r="K137" s="1" t="str">
        <f t="shared" si="8"/>
        <v>Average</v>
      </c>
    </row>
    <row r="138" spans="1:11" x14ac:dyDescent="0.3">
      <c r="A138" s="1">
        <v>1137</v>
      </c>
      <c r="B138" s="1" t="s">
        <v>26</v>
      </c>
      <c r="C138" s="1" t="s">
        <v>11</v>
      </c>
      <c r="D138" s="1" t="s">
        <v>15</v>
      </c>
      <c r="E138" s="1">
        <v>29337</v>
      </c>
      <c r="F138" s="1">
        <v>2840</v>
      </c>
      <c r="G138" s="24">
        <v>1</v>
      </c>
      <c r="H138" s="1" t="str">
        <f t="shared" si="6"/>
        <v>Junior</v>
      </c>
      <c r="I138" s="1" t="str">
        <f t="shared" si="7"/>
        <v>Other</v>
      </c>
      <c r="J138" s="1" t="str" cm="1">
        <f t="array" ref="J138">_xlfn.IFS(E138&gt;60000,"High",E138&gt;40000, "Medium", E138&lt;40000,"low")</f>
        <v>low</v>
      </c>
      <c r="K138" s="1" t="str">
        <f t="shared" si="8"/>
        <v>Average</v>
      </c>
    </row>
    <row r="139" spans="1:11" x14ac:dyDescent="0.3">
      <c r="A139" s="1">
        <v>1138</v>
      </c>
      <c r="B139" s="1" t="s">
        <v>29</v>
      </c>
      <c r="C139" s="1" t="s">
        <v>8</v>
      </c>
      <c r="D139" s="1" t="s">
        <v>9</v>
      </c>
      <c r="E139" s="1">
        <v>62891</v>
      </c>
      <c r="F139" s="1">
        <v>7534</v>
      </c>
      <c r="G139" s="24">
        <v>7</v>
      </c>
      <c r="H139" s="1" t="str">
        <f t="shared" si="6"/>
        <v>Senior</v>
      </c>
      <c r="I139" s="1" t="str">
        <f t="shared" si="7"/>
        <v>Main</v>
      </c>
      <c r="J139" s="1" t="str" cm="1">
        <f t="array" ref="J139">_xlfn.IFS(E139&gt;60000,"High",E139&gt;40000, "Medium", E139&lt;40000,"low")</f>
        <v>High</v>
      </c>
      <c r="K139" s="1" t="str">
        <f t="shared" si="8"/>
        <v>Average</v>
      </c>
    </row>
    <row r="140" spans="1:11" x14ac:dyDescent="0.3">
      <c r="A140" s="1">
        <v>1139</v>
      </c>
      <c r="B140" s="1" t="s">
        <v>7</v>
      </c>
      <c r="C140" s="1" t="s">
        <v>8</v>
      </c>
      <c r="D140" s="1" t="s">
        <v>12</v>
      </c>
      <c r="E140" s="1">
        <v>70278</v>
      </c>
      <c r="F140" s="1">
        <v>3722</v>
      </c>
      <c r="G140" s="24">
        <v>4</v>
      </c>
      <c r="H140" s="1" t="str">
        <f t="shared" si="6"/>
        <v>Junior</v>
      </c>
      <c r="I140" s="1" t="str">
        <f t="shared" si="7"/>
        <v>Other</v>
      </c>
      <c r="J140" s="1" t="str" cm="1">
        <f t="array" ref="J140">_xlfn.IFS(E140&gt;60000,"High",E140&gt;40000, "Medium", E140&lt;40000,"low")</f>
        <v>High</v>
      </c>
      <c r="K140" s="1" t="str">
        <f t="shared" si="8"/>
        <v>Good</v>
      </c>
    </row>
    <row r="141" spans="1:11" x14ac:dyDescent="0.3">
      <c r="A141" s="1">
        <v>1140</v>
      </c>
      <c r="B141" s="1" t="s">
        <v>30</v>
      </c>
      <c r="C141" s="1" t="s">
        <v>14</v>
      </c>
      <c r="D141" s="1" t="s">
        <v>21</v>
      </c>
      <c r="E141" s="1">
        <v>42516</v>
      </c>
      <c r="F141" s="1">
        <v>4527</v>
      </c>
      <c r="G141" s="24">
        <v>2</v>
      </c>
      <c r="H141" s="1" t="str">
        <f t="shared" si="6"/>
        <v>Junior</v>
      </c>
      <c r="I141" s="1" t="str">
        <f t="shared" si="7"/>
        <v>Main</v>
      </c>
      <c r="J141" s="1" t="str" cm="1">
        <f t="array" ref="J141">_xlfn.IFS(E141&gt;60000,"High",E141&gt;40000, "Medium", E141&lt;40000,"low")</f>
        <v>Medium</v>
      </c>
      <c r="K141" s="1" t="str">
        <f t="shared" si="8"/>
        <v>Average</v>
      </c>
    </row>
    <row r="142" spans="1:11" x14ac:dyDescent="0.3">
      <c r="A142" s="1">
        <v>1141</v>
      </c>
      <c r="B142" s="1" t="s">
        <v>33</v>
      </c>
      <c r="C142" s="1" t="s">
        <v>8</v>
      </c>
      <c r="D142" s="1" t="s">
        <v>21</v>
      </c>
      <c r="E142" s="1">
        <v>47585</v>
      </c>
      <c r="F142" s="1">
        <v>9569</v>
      </c>
      <c r="G142" s="24">
        <v>5</v>
      </c>
      <c r="H142" s="1" t="str">
        <f t="shared" si="6"/>
        <v>Junior</v>
      </c>
      <c r="I142" s="1" t="str">
        <f t="shared" si="7"/>
        <v>Main</v>
      </c>
      <c r="J142" s="1" t="str" cm="1">
        <f t="array" ref="J142">_xlfn.IFS(E142&gt;60000,"High",E142&gt;40000, "Medium", E142&lt;40000,"low")</f>
        <v>Medium</v>
      </c>
      <c r="K142" s="1" t="str">
        <f t="shared" si="8"/>
        <v>Average</v>
      </c>
    </row>
    <row r="143" spans="1:11" x14ac:dyDescent="0.3">
      <c r="A143" s="1">
        <v>1142</v>
      </c>
      <c r="B143" s="1" t="s">
        <v>17</v>
      </c>
      <c r="C143" s="1" t="s">
        <v>11</v>
      </c>
      <c r="D143" s="1" t="s">
        <v>12</v>
      </c>
      <c r="E143" s="1">
        <v>39651</v>
      </c>
      <c r="F143" s="1">
        <v>1339</v>
      </c>
      <c r="G143" s="24">
        <v>6</v>
      </c>
      <c r="H143" s="1" t="str">
        <f t="shared" si="6"/>
        <v>Junior</v>
      </c>
      <c r="I143" s="1" t="str">
        <f t="shared" si="7"/>
        <v>Other</v>
      </c>
      <c r="J143" s="1" t="str" cm="1">
        <f t="array" ref="J143">_xlfn.IFS(E143&gt;60000,"High",E143&gt;40000, "Medium", E143&lt;40000,"low")</f>
        <v>low</v>
      </c>
      <c r="K143" s="1" t="str">
        <f t="shared" si="8"/>
        <v>Average</v>
      </c>
    </row>
    <row r="144" spans="1:11" x14ac:dyDescent="0.3">
      <c r="A144" s="1">
        <v>1143</v>
      </c>
      <c r="B144" s="1" t="s">
        <v>23</v>
      </c>
      <c r="C144" s="1" t="s">
        <v>14</v>
      </c>
      <c r="D144" s="1" t="s">
        <v>12</v>
      </c>
      <c r="E144" s="1">
        <v>57341</v>
      </c>
      <c r="F144" s="1">
        <v>4129</v>
      </c>
      <c r="G144" s="24">
        <v>4</v>
      </c>
      <c r="H144" s="1" t="str">
        <f t="shared" si="6"/>
        <v>Junior</v>
      </c>
      <c r="I144" s="1" t="str">
        <f t="shared" si="7"/>
        <v>Other</v>
      </c>
      <c r="J144" s="1" t="str" cm="1">
        <f t="array" ref="J144">_xlfn.IFS(E144&gt;60000,"High",E144&gt;40000, "Medium", E144&lt;40000,"low")</f>
        <v>Medium</v>
      </c>
      <c r="K144" s="1" t="str">
        <f t="shared" si="8"/>
        <v>Average</v>
      </c>
    </row>
    <row r="145" spans="1:11" x14ac:dyDescent="0.3">
      <c r="A145" s="1">
        <v>1144</v>
      </c>
      <c r="B145" s="1" t="s">
        <v>16</v>
      </c>
      <c r="C145" s="1" t="s">
        <v>19</v>
      </c>
      <c r="D145" s="1" t="s">
        <v>12</v>
      </c>
      <c r="E145" s="1">
        <v>24667</v>
      </c>
      <c r="F145" s="1">
        <v>7693</v>
      </c>
      <c r="G145" s="24">
        <v>3</v>
      </c>
      <c r="H145" s="1" t="str">
        <f t="shared" si="6"/>
        <v>Junior</v>
      </c>
      <c r="I145" s="1" t="str">
        <f t="shared" si="7"/>
        <v>Other</v>
      </c>
      <c r="J145" s="1" t="str" cm="1">
        <f t="array" ref="J145">_xlfn.IFS(E145&gt;60000,"High",E145&gt;40000, "Medium", E145&lt;40000,"low")</f>
        <v>low</v>
      </c>
      <c r="K145" s="1" t="str">
        <f t="shared" si="8"/>
        <v>Average</v>
      </c>
    </row>
    <row r="146" spans="1:11" x14ac:dyDescent="0.3">
      <c r="A146" s="1">
        <v>1145</v>
      </c>
      <c r="B146" s="1" t="s">
        <v>24</v>
      </c>
      <c r="C146" s="1" t="s">
        <v>19</v>
      </c>
      <c r="D146" s="1" t="s">
        <v>21</v>
      </c>
      <c r="E146" s="1">
        <v>21739</v>
      </c>
      <c r="F146" s="1">
        <v>7379</v>
      </c>
      <c r="G146" s="24">
        <v>8</v>
      </c>
      <c r="H146" s="1" t="str">
        <f t="shared" si="6"/>
        <v>Junior</v>
      </c>
      <c r="I146" s="1" t="str">
        <f t="shared" si="7"/>
        <v>Main</v>
      </c>
      <c r="J146" s="1" t="str" cm="1">
        <f t="array" ref="J146">_xlfn.IFS(E146&gt;60000,"High",E146&gt;40000, "Medium", E146&lt;40000,"low")</f>
        <v>low</v>
      </c>
      <c r="K146" s="1" t="str">
        <f t="shared" si="8"/>
        <v>Average</v>
      </c>
    </row>
    <row r="147" spans="1:11" x14ac:dyDescent="0.3">
      <c r="A147" s="1">
        <v>1146</v>
      </c>
      <c r="B147" s="1" t="s">
        <v>22</v>
      </c>
      <c r="C147" s="1" t="s">
        <v>14</v>
      </c>
      <c r="D147" s="1" t="s">
        <v>21</v>
      </c>
      <c r="E147" s="1">
        <v>58099</v>
      </c>
      <c r="F147" s="1">
        <v>5243</v>
      </c>
      <c r="G147" s="24">
        <v>5</v>
      </c>
      <c r="H147" s="1" t="str">
        <f t="shared" si="6"/>
        <v>Junior</v>
      </c>
      <c r="I147" s="1" t="str">
        <f t="shared" si="7"/>
        <v>Main</v>
      </c>
      <c r="J147" s="1" t="str" cm="1">
        <f t="array" ref="J147">_xlfn.IFS(E147&gt;60000,"High",E147&gt;40000, "Medium", E147&lt;40000,"low")</f>
        <v>Medium</v>
      </c>
      <c r="K147" s="1" t="str">
        <f t="shared" si="8"/>
        <v>Good</v>
      </c>
    </row>
    <row r="148" spans="1:11" x14ac:dyDescent="0.3">
      <c r="A148" s="1">
        <v>1147</v>
      </c>
      <c r="B148" s="1" t="s">
        <v>13</v>
      </c>
      <c r="C148" s="1" t="s">
        <v>14</v>
      </c>
      <c r="D148" s="1" t="s">
        <v>15</v>
      </c>
      <c r="E148" s="1">
        <v>47929</v>
      </c>
      <c r="F148" s="1">
        <v>4306</v>
      </c>
      <c r="G148" s="24">
        <v>6</v>
      </c>
      <c r="H148" s="1" t="str">
        <f t="shared" si="6"/>
        <v>Junior</v>
      </c>
      <c r="I148" s="1" t="str">
        <f t="shared" si="7"/>
        <v>Other</v>
      </c>
      <c r="J148" s="1" t="str" cm="1">
        <f t="array" ref="J148">_xlfn.IFS(E148&gt;60000,"High",E148&gt;40000, "Medium", E148&lt;40000,"low")</f>
        <v>Medium</v>
      </c>
      <c r="K148" s="1" t="str">
        <f t="shared" si="8"/>
        <v>Average</v>
      </c>
    </row>
    <row r="149" spans="1:11" x14ac:dyDescent="0.3">
      <c r="A149" s="1">
        <v>1148</v>
      </c>
      <c r="B149" s="1" t="s">
        <v>27</v>
      </c>
      <c r="C149" s="1" t="s">
        <v>8</v>
      </c>
      <c r="D149" s="1" t="s">
        <v>21</v>
      </c>
      <c r="E149" s="1">
        <v>22609</v>
      </c>
      <c r="F149" s="1">
        <v>7674</v>
      </c>
      <c r="G149" s="24">
        <v>7</v>
      </c>
      <c r="H149" s="1" t="str">
        <f t="shared" si="6"/>
        <v>Junior</v>
      </c>
      <c r="I149" s="1" t="str">
        <f t="shared" si="7"/>
        <v>Main</v>
      </c>
      <c r="J149" s="1" t="str" cm="1">
        <f t="array" ref="J149">_xlfn.IFS(E149&gt;60000,"High",E149&gt;40000, "Medium", E149&lt;40000,"low")</f>
        <v>low</v>
      </c>
      <c r="K149" s="1" t="str">
        <f t="shared" si="8"/>
        <v>Average</v>
      </c>
    </row>
    <row r="150" spans="1:11" x14ac:dyDescent="0.3">
      <c r="A150" s="1">
        <v>1149</v>
      </c>
      <c r="B150" s="1" t="s">
        <v>34</v>
      </c>
      <c r="C150" s="1" t="s">
        <v>19</v>
      </c>
      <c r="D150" s="1" t="s">
        <v>15</v>
      </c>
      <c r="E150" s="1">
        <v>46977</v>
      </c>
      <c r="F150" s="1">
        <v>3949</v>
      </c>
      <c r="G150" s="24">
        <v>3</v>
      </c>
      <c r="H150" s="1" t="str">
        <f t="shared" si="6"/>
        <v>Junior</v>
      </c>
      <c r="I150" s="1" t="str">
        <f t="shared" si="7"/>
        <v>Other</v>
      </c>
      <c r="J150" s="1" t="str" cm="1">
        <f t="array" ref="J150">_xlfn.IFS(E150&gt;60000,"High",E150&gt;40000, "Medium", E150&lt;40000,"low")</f>
        <v>Medium</v>
      </c>
      <c r="K150" s="1" t="str">
        <f t="shared" si="8"/>
        <v>Average</v>
      </c>
    </row>
    <row r="151" spans="1:11" x14ac:dyDescent="0.3">
      <c r="A151" s="1">
        <v>1150</v>
      </c>
      <c r="B151" s="1" t="s">
        <v>18</v>
      </c>
      <c r="C151" s="1" t="s">
        <v>19</v>
      </c>
      <c r="D151" s="1" t="s">
        <v>21</v>
      </c>
      <c r="E151" s="1">
        <v>60494</v>
      </c>
      <c r="F151" s="1">
        <v>4222</v>
      </c>
      <c r="G151" s="24">
        <v>5</v>
      </c>
      <c r="H151" s="1" t="str">
        <f t="shared" si="6"/>
        <v>Junior</v>
      </c>
      <c r="I151" s="1" t="str">
        <f t="shared" si="7"/>
        <v>Main</v>
      </c>
      <c r="J151" s="1" t="str" cm="1">
        <f t="array" ref="J151">_xlfn.IFS(E151&gt;60000,"High",E151&gt;40000, "Medium", E151&lt;40000,"low")</f>
        <v>High</v>
      </c>
      <c r="K151" s="1" t="str">
        <f t="shared" si="8"/>
        <v>Average</v>
      </c>
    </row>
    <row r="152" spans="1:11" x14ac:dyDescent="0.3">
      <c r="A152" s="1">
        <v>1151</v>
      </c>
      <c r="B152" s="1" t="s">
        <v>34</v>
      </c>
      <c r="C152" s="1" t="s">
        <v>11</v>
      </c>
      <c r="D152" s="1" t="s">
        <v>15</v>
      </c>
      <c r="E152" s="1">
        <v>76345</v>
      </c>
      <c r="F152" s="1">
        <v>4343</v>
      </c>
      <c r="G152" s="24">
        <v>3</v>
      </c>
      <c r="H152" s="1" t="str">
        <f t="shared" si="6"/>
        <v>Junior</v>
      </c>
      <c r="I152" s="1" t="str">
        <f t="shared" si="7"/>
        <v>Other</v>
      </c>
      <c r="J152" s="1" t="str" cm="1">
        <f t="array" ref="J152">_xlfn.IFS(E152&gt;60000,"High",E152&gt;40000, "Medium", E152&lt;40000,"low")</f>
        <v>High</v>
      </c>
      <c r="K152" s="1" t="str">
        <f t="shared" si="8"/>
        <v>Average</v>
      </c>
    </row>
    <row r="153" spans="1:11" x14ac:dyDescent="0.3">
      <c r="A153" s="1">
        <v>1152</v>
      </c>
      <c r="B153" s="1" t="s">
        <v>10</v>
      </c>
      <c r="C153" s="1" t="s">
        <v>19</v>
      </c>
      <c r="D153" s="1" t="s">
        <v>12</v>
      </c>
      <c r="E153" s="1">
        <v>57626</v>
      </c>
      <c r="F153" s="1">
        <v>6698</v>
      </c>
      <c r="G153" s="24">
        <v>9</v>
      </c>
      <c r="H153" s="1" t="str">
        <f t="shared" si="6"/>
        <v>Senior</v>
      </c>
      <c r="I153" s="1" t="str">
        <f t="shared" si="7"/>
        <v>Other</v>
      </c>
      <c r="J153" s="1" t="str" cm="1">
        <f t="array" ref="J153">_xlfn.IFS(E153&gt;60000,"High",E153&gt;40000, "Medium", E153&lt;40000,"low")</f>
        <v>Medium</v>
      </c>
      <c r="K153" s="1" t="str">
        <f t="shared" si="8"/>
        <v>Average</v>
      </c>
    </row>
    <row r="154" spans="1:11" x14ac:dyDescent="0.3">
      <c r="A154" s="1">
        <v>1153</v>
      </c>
      <c r="B154" s="1" t="s">
        <v>29</v>
      </c>
      <c r="C154" s="1" t="s">
        <v>19</v>
      </c>
      <c r="D154" s="1" t="s">
        <v>12</v>
      </c>
      <c r="E154" s="1">
        <v>44248</v>
      </c>
      <c r="F154" s="1">
        <v>3806</v>
      </c>
      <c r="G154" s="24">
        <v>8</v>
      </c>
      <c r="H154" s="1" t="str">
        <f t="shared" si="6"/>
        <v>Junior</v>
      </c>
      <c r="I154" s="1" t="str">
        <f t="shared" si="7"/>
        <v>Other</v>
      </c>
      <c r="J154" s="1" t="str" cm="1">
        <f t="array" ref="J154">_xlfn.IFS(E154&gt;60000,"High",E154&gt;40000, "Medium", E154&lt;40000,"low")</f>
        <v>Medium</v>
      </c>
      <c r="K154" s="1" t="str">
        <f t="shared" si="8"/>
        <v>Average</v>
      </c>
    </row>
    <row r="155" spans="1:11" x14ac:dyDescent="0.3">
      <c r="A155" s="1">
        <v>1154</v>
      </c>
      <c r="B155" s="1" t="s">
        <v>27</v>
      </c>
      <c r="C155" s="1" t="s">
        <v>19</v>
      </c>
      <c r="D155" s="1" t="s">
        <v>15</v>
      </c>
      <c r="E155" s="1">
        <v>78746</v>
      </c>
      <c r="F155" s="1">
        <v>1003</v>
      </c>
      <c r="G155" s="24">
        <v>10</v>
      </c>
      <c r="H155" s="1" t="str">
        <f t="shared" si="6"/>
        <v>Senior</v>
      </c>
      <c r="I155" s="1" t="str">
        <f t="shared" si="7"/>
        <v>Other</v>
      </c>
      <c r="J155" s="1" t="str" cm="1">
        <f t="array" ref="J155">_xlfn.IFS(E155&gt;60000,"High",E155&gt;40000, "Medium", E155&lt;40000,"low")</f>
        <v>High</v>
      </c>
      <c r="K155" s="1" t="str">
        <f t="shared" si="8"/>
        <v>Average</v>
      </c>
    </row>
    <row r="156" spans="1:11" x14ac:dyDescent="0.3">
      <c r="A156" s="1">
        <v>1155</v>
      </c>
      <c r="B156" s="1" t="s">
        <v>20</v>
      </c>
      <c r="C156" s="1" t="s">
        <v>19</v>
      </c>
      <c r="D156" s="1" t="s">
        <v>21</v>
      </c>
      <c r="E156" s="1">
        <v>33611</v>
      </c>
      <c r="F156" s="1">
        <v>6183</v>
      </c>
      <c r="G156" s="24">
        <v>7</v>
      </c>
      <c r="H156" s="1" t="str">
        <f t="shared" si="6"/>
        <v>Junior</v>
      </c>
      <c r="I156" s="1" t="str">
        <f t="shared" si="7"/>
        <v>Main</v>
      </c>
      <c r="J156" s="1" t="str" cm="1">
        <f t="array" ref="J156">_xlfn.IFS(E156&gt;60000,"High",E156&gt;40000, "Medium", E156&lt;40000,"low")</f>
        <v>low</v>
      </c>
      <c r="K156" s="1" t="str">
        <f t="shared" si="8"/>
        <v>Average</v>
      </c>
    </row>
    <row r="157" spans="1:11" x14ac:dyDescent="0.3">
      <c r="A157" s="1">
        <v>1156</v>
      </c>
      <c r="B157" s="1" t="s">
        <v>29</v>
      </c>
      <c r="C157" s="1" t="s">
        <v>14</v>
      </c>
      <c r="D157" s="1" t="s">
        <v>21</v>
      </c>
      <c r="E157" s="1">
        <v>33415</v>
      </c>
      <c r="F157" s="1">
        <v>7380</v>
      </c>
      <c r="G157" s="24">
        <v>1</v>
      </c>
      <c r="H157" s="1" t="str">
        <f t="shared" si="6"/>
        <v>Junior</v>
      </c>
      <c r="I157" s="1" t="str">
        <f t="shared" si="7"/>
        <v>Main</v>
      </c>
      <c r="J157" s="1" t="str" cm="1">
        <f t="array" ref="J157">_xlfn.IFS(E157&gt;60000,"High",E157&gt;40000, "Medium", E157&lt;40000,"low")</f>
        <v>low</v>
      </c>
      <c r="K157" s="1" t="str">
        <f t="shared" si="8"/>
        <v>Average</v>
      </c>
    </row>
    <row r="158" spans="1:11" x14ac:dyDescent="0.3">
      <c r="A158" s="1">
        <v>1157</v>
      </c>
      <c r="B158" s="1" t="s">
        <v>16</v>
      </c>
      <c r="C158" s="1" t="s">
        <v>14</v>
      </c>
      <c r="D158" s="1" t="s">
        <v>12</v>
      </c>
      <c r="E158" s="1">
        <v>31503</v>
      </c>
      <c r="F158" s="1">
        <v>3768</v>
      </c>
      <c r="G158" s="24">
        <v>2</v>
      </c>
      <c r="H158" s="1" t="str">
        <f t="shared" si="6"/>
        <v>Junior</v>
      </c>
      <c r="I158" s="1" t="str">
        <f t="shared" si="7"/>
        <v>Other</v>
      </c>
      <c r="J158" s="1" t="str" cm="1">
        <f t="array" ref="J158">_xlfn.IFS(E158&gt;60000,"High",E158&gt;40000, "Medium", E158&lt;40000,"low")</f>
        <v>low</v>
      </c>
      <c r="K158" s="1" t="str">
        <f t="shared" si="8"/>
        <v>Average</v>
      </c>
    </row>
    <row r="159" spans="1:11" x14ac:dyDescent="0.3">
      <c r="A159" s="1">
        <v>1158</v>
      </c>
      <c r="B159" s="1" t="s">
        <v>28</v>
      </c>
      <c r="C159" s="1" t="s">
        <v>19</v>
      </c>
      <c r="D159" s="1" t="s">
        <v>9</v>
      </c>
      <c r="E159" s="1">
        <v>54251</v>
      </c>
      <c r="F159" s="1">
        <v>6419</v>
      </c>
      <c r="G159" s="24">
        <v>5</v>
      </c>
      <c r="H159" s="1" t="str">
        <f t="shared" si="6"/>
        <v>Junior</v>
      </c>
      <c r="I159" s="1" t="str">
        <f t="shared" si="7"/>
        <v>Main</v>
      </c>
      <c r="J159" s="1" t="str" cm="1">
        <f t="array" ref="J159">_xlfn.IFS(E159&gt;60000,"High",E159&gt;40000, "Medium", E159&lt;40000,"low")</f>
        <v>Medium</v>
      </c>
      <c r="K159" s="1" t="str">
        <f t="shared" si="8"/>
        <v>Average</v>
      </c>
    </row>
    <row r="160" spans="1:11" x14ac:dyDescent="0.3">
      <c r="A160" s="1">
        <v>1159</v>
      </c>
      <c r="B160" s="1" t="s">
        <v>17</v>
      </c>
      <c r="C160" s="1" t="s">
        <v>11</v>
      </c>
      <c r="D160" s="1" t="s">
        <v>9</v>
      </c>
      <c r="E160" s="1">
        <v>45175</v>
      </c>
      <c r="F160" s="1">
        <v>8040</v>
      </c>
      <c r="G160" s="24">
        <v>10</v>
      </c>
      <c r="H160" s="1" t="str">
        <f t="shared" si="6"/>
        <v>Junior</v>
      </c>
      <c r="I160" s="1" t="str">
        <f t="shared" si="7"/>
        <v>Main</v>
      </c>
      <c r="J160" s="1" t="str" cm="1">
        <f t="array" ref="J160">_xlfn.IFS(E160&gt;60000,"High",E160&gt;40000, "Medium", E160&lt;40000,"low")</f>
        <v>Medium</v>
      </c>
      <c r="K160" s="1" t="str">
        <f t="shared" si="8"/>
        <v>Average</v>
      </c>
    </row>
    <row r="161" spans="1:11" x14ac:dyDescent="0.3">
      <c r="A161" s="1">
        <v>1160</v>
      </c>
      <c r="B161" s="1" t="s">
        <v>18</v>
      </c>
      <c r="C161" s="1" t="s">
        <v>8</v>
      </c>
      <c r="D161" s="1" t="s">
        <v>21</v>
      </c>
      <c r="E161" s="1">
        <v>70498</v>
      </c>
      <c r="F161" s="1">
        <v>5555</v>
      </c>
      <c r="G161" s="24">
        <v>9</v>
      </c>
      <c r="H161" s="1" t="str">
        <f t="shared" si="6"/>
        <v>Senior</v>
      </c>
      <c r="I161" s="1" t="str">
        <f t="shared" si="7"/>
        <v>Main</v>
      </c>
      <c r="J161" s="1" t="str" cm="1">
        <f t="array" ref="J161">_xlfn.IFS(E161&gt;60000,"High",E161&gt;40000, "Medium", E161&lt;40000,"low")</f>
        <v>High</v>
      </c>
      <c r="K161" s="1" t="str">
        <f t="shared" si="8"/>
        <v>Good</v>
      </c>
    </row>
    <row r="162" spans="1:11" x14ac:dyDescent="0.3">
      <c r="A162" s="1">
        <v>1161</v>
      </c>
      <c r="B162" s="1" t="s">
        <v>29</v>
      </c>
      <c r="C162" s="1" t="s">
        <v>19</v>
      </c>
      <c r="D162" s="1" t="s">
        <v>12</v>
      </c>
      <c r="E162" s="1">
        <v>55331</v>
      </c>
      <c r="F162" s="1">
        <v>5247</v>
      </c>
      <c r="G162" s="24">
        <v>5</v>
      </c>
      <c r="H162" s="1" t="str">
        <f t="shared" si="6"/>
        <v>Junior</v>
      </c>
      <c r="I162" s="1" t="str">
        <f t="shared" si="7"/>
        <v>Other</v>
      </c>
      <c r="J162" s="1" t="str" cm="1">
        <f t="array" ref="J162">_xlfn.IFS(E162&gt;60000,"High",E162&gt;40000, "Medium", E162&lt;40000,"low")</f>
        <v>Medium</v>
      </c>
      <c r="K162" s="1" t="str">
        <f t="shared" si="8"/>
        <v>Good</v>
      </c>
    </row>
    <row r="163" spans="1:11" x14ac:dyDescent="0.3">
      <c r="A163" s="1">
        <v>1162</v>
      </c>
      <c r="B163" s="1" t="s">
        <v>20</v>
      </c>
      <c r="C163" s="1" t="s">
        <v>19</v>
      </c>
      <c r="D163" s="1" t="s">
        <v>15</v>
      </c>
      <c r="E163" s="1">
        <v>64798</v>
      </c>
      <c r="F163" s="1">
        <v>9017</v>
      </c>
      <c r="G163" s="24">
        <v>5</v>
      </c>
      <c r="H163" s="1" t="str">
        <f t="shared" si="6"/>
        <v>Junior</v>
      </c>
      <c r="I163" s="1" t="str">
        <f t="shared" si="7"/>
        <v>Other</v>
      </c>
      <c r="J163" s="1" t="str" cm="1">
        <f t="array" ref="J163">_xlfn.IFS(E163&gt;60000,"High",E163&gt;40000, "Medium", E163&lt;40000,"low")</f>
        <v>High</v>
      </c>
      <c r="K163" s="1" t="str">
        <f t="shared" si="8"/>
        <v>Good</v>
      </c>
    </row>
    <row r="164" spans="1:11" x14ac:dyDescent="0.3">
      <c r="A164" s="1">
        <v>1163</v>
      </c>
      <c r="B164" s="1" t="s">
        <v>30</v>
      </c>
      <c r="C164" s="1" t="s">
        <v>14</v>
      </c>
      <c r="D164" s="1" t="s">
        <v>15</v>
      </c>
      <c r="E164" s="1">
        <v>63306</v>
      </c>
      <c r="F164" s="1">
        <v>2001</v>
      </c>
      <c r="G164" s="24">
        <v>2</v>
      </c>
      <c r="H164" s="1" t="str">
        <f t="shared" si="6"/>
        <v>Junior</v>
      </c>
      <c r="I164" s="1" t="str">
        <f t="shared" si="7"/>
        <v>Other</v>
      </c>
      <c r="J164" s="1" t="str" cm="1">
        <f t="array" ref="J164">_xlfn.IFS(E164&gt;60000,"High",E164&gt;40000, "Medium", E164&lt;40000,"low")</f>
        <v>High</v>
      </c>
      <c r="K164" s="1" t="str">
        <f t="shared" si="8"/>
        <v>Good</v>
      </c>
    </row>
    <row r="165" spans="1:11" x14ac:dyDescent="0.3">
      <c r="A165" s="1">
        <v>1164</v>
      </c>
      <c r="B165" s="1" t="s">
        <v>27</v>
      </c>
      <c r="C165" s="1" t="s">
        <v>14</v>
      </c>
      <c r="D165" s="1" t="s">
        <v>12</v>
      </c>
      <c r="E165" s="1">
        <v>71398</v>
      </c>
      <c r="F165" s="1">
        <v>5683</v>
      </c>
      <c r="G165" s="24">
        <v>6</v>
      </c>
      <c r="H165" s="1" t="str">
        <f t="shared" si="6"/>
        <v>Senior</v>
      </c>
      <c r="I165" s="1" t="str">
        <f t="shared" si="7"/>
        <v>Other</v>
      </c>
      <c r="J165" s="1" t="str" cm="1">
        <f t="array" ref="J165">_xlfn.IFS(E165&gt;60000,"High",E165&gt;40000, "Medium", E165&lt;40000,"low")</f>
        <v>High</v>
      </c>
      <c r="K165" s="1" t="str">
        <f t="shared" si="8"/>
        <v>Average</v>
      </c>
    </row>
    <row r="166" spans="1:11" x14ac:dyDescent="0.3">
      <c r="A166" s="1">
        <v>1165</v>
      </c>
      <c r="B166" s="1" t="s">
        <v>26</v>
      </c>
      <c r="C166" s="1" t="s">
        <v>19</v>
      </c>
      <c r="D166" s="1" t="s">
        <v>9</v>
      </c>
      <c r="E166" s="1">
        <v>21242</v>
      </c>
      <c r="F166" s="1">
        <v>4151</v>
      </c>
      <c r="G166" s="24">
        <v>8</v>
      </c>
      <c r="H166" s="1" t="str">
        <f t="shared" si="6"/>
        <v>Junior</v>
      </c>
      <c r="I166" s="1" t="str">
        <f t="shared" si="7"/>
        <v>Main</v>
      </c>
      <c r="J166" s="1" t="str" cm="1">
        <f t="array" ref="J166">_xlfn.IFS(E166&gt;60000,"High",E166&gt;40000, "Medium", E166&lt;40000,"low")</f>
        <v>low</v>
      </c>
      <c r="K166" s="1" t="str">
        <f t="shared" si="8"/>
        <v>Average</v>
      </c>
    </row>
    <row r="167" spans="1:11" x14ac:dyDescent="0.3">
      <c r="A167" s="1">
        <v>1166</v>
      </c>
      <c r="B167" s="1" t="s">
        <v>30</v>
      </c>
      <c r="C167" s="1" t="s">
        <v>14</v>
      </c>
      <c r="D167" s="1" t="s">
        <v>12</v>
      </c>
      <c r="E167" s="1">
        <v>46098</v>
      </c>
      <c r="F167" s="1">
        <v>2242</v>
      </c>
      <c r="G167" s="24">
        <v>2</v>
      </c>
      <c r="H167" s="1" t="str">
        <f t="shared" si="6"/>
        <v>Junior</v>
      </c>
      <c r="I167" s="1" t="str">
        <f t="shared" si="7"/>
        <v>Other</v>
      </c>
      <c r="J167" s="1" t="str" cm="1">
        <f t="array" ref="J167">_xlfn.IFS(E167&gt;60000,"High",E167&gt;40000, "Medium", E167&lt;40000,"low")</f>
        <v>Medium</v>
      </c>
      <c r="K167" s="1" t="str">
        <f t="shared" si="8"/>
        <v>Average</v>
      </c>
    </row>
    <row r="168" spans="1:11" x14ac:dyDescent="0.3">
      <c r="A168" s="1">
        <v>1167</v>
      </c>
      <c r="B168" s="1" t="s">
        <v>34</v>
      </c>
      <c r="C168" s="1" t="s">
        <v>8</v>
      </c>
      <c r="D168" s="1" t="s">
        <v>15</v>
      </c>
      <c r="E168" s="1">
        <v>78975</v>
      </c>
      <c r="F168" s="1">
        <v>7971</v>
      </c>
      <c r="G168" s="24">
        <v>1</v>
      </c>
      <c r="H168" s="1" t="str">
        <f t="shared" si="6"/>
        <v>Junior</v>
      </c>
      <c r="I168" s="1" t="str">
        <f t="shared" si="7"/>
        <v>Other</v>
      </c>
      <c r="J168" s="1" t="str" cm="1">
        <f t="array" ref="J168">_xlfn.IFS(E168&gt;60000,"High",E168&gt;40000, "Medium", E168&lt;40000,"low")</f>
        <v>High</v>
      </c>
      <c r="K168" s="1" t="str">
        <f t="shared" si="8"/>
        <v>Average</v>
      </c>
    </row>
    <row r="169" spans="1:11" x14ac:dyDescent="0.3">
      <c r="A169" s="1">
        <v>1168</v>
      </c>
      <c r="B169" s="1" t="s">
        <v>16</v>
      </c>
      <c r="C169" s="1" t="s">
        <v>19</v>
      </c>
      <c r="D169" s="1" t="s">
        <v>12</v>
      </c>
      <c r="E169" s="1">
        <v>26070</v>
      </c>
      <c r="F169" s="1">
        <v>6110</v>
      </c>
      <c r="G169" s="24">
        <v>8</v>
      </c>
      <c r="H169" s="1" t="str">
        <f t="shared" si="6"/>
        <v>Junior</v>
      </c>
      <c r="I169" s="1" t="str">
        <f t="shared" si="7"/>
        <v>Other</v>
      </c>
      <c r="J169" s="1" t="str" cm="1">
        <f t="array" ref="J169">_xlfn.IFS(E169&gt;60000,"High",E169&gt;40000, "Medium", E169&lt;40000,"low")</f>
        <v>low</v>
      </c>
      <c r="K169" s="1" t="str">
        <f t="shared" si="8"/>
        <v>Average</v>
      </c>
    </row>
    <row r="170" spans="1:11" x14ac:dyDescent="0.3">
      <c r="A170" s="1">
        <v>1169</v>
      </c>
      <c r="B170" s="1" t="s">
        <v>25</v>
      </c>
      <c r="C170" s="1" t="s">
        <v>19</v>
      </c>
      <c r="D170" s="1" t="s">
        <v>9</v>
      </c>
      <c r="E170" s="1">
        <v>20631</v>
      </c>
      <c r="F170" s="1">
        <v>2822</v>
      </c>
      <c r="G170" s="24">
        <v>3</v>
      </c>
      <c r="H170" s="1" t="str">
        <f t="shared" si="6"/>
        <v>Junior</v>
      </c>
      <c r="I170" s="1" t="str">
        <f t="shared" si="7"/>
        <v>Main</v>
      </c>
      <c r="J170" s="1" t="str" cm="1">
        <f t="array" ref="J170">_xlfn.IFS(E170&gt;60000,"High",E170&gt;40000, "Medium", E170&lt;40000,"low")</f>
        <v>low</v>
      </c>
      <c r="K170" s="1" t="str">
        <f t="shared" si="8"/>
        <v>Average</v>
      </c>
    </row>
    <row r="171" spans="1:11" x14ac:dyDescent="0.3">
      <c r="A171" s="1">
        <v>1170</v>
      </c>
      <c r="B171" s="1" t="s">
        <v>17</v>
      </c>
      <c r="C171" s="1" t="s">
        <v>19</v>
      </c>
      <c r="D171" s="1" t="s">
        <v>9</v>
      </c>
      <c r="E171" s="1">
        <v>35132</v>
      </c>
      <c r="F171" s="1">
        <v>8238</v>
      </c>
      <c r="G171" s="24">
        <v>3</v>
      </c>
      <c r="H171" s="1" t="str">
        <f t="shared" si="6"/>
        <v>Junior</v>
      </c>
      <c r="I171" s="1" t="str">
        <f t="shared" si="7"/>
        <v>Main</v>
      </c>
      <c r="J171" s="1" t="str" cm="1">
        <f t="array" ref="J171">_xlfn.IFS(E171&gt;60000,"High",E171&gt;40000, "Medium", E171&lt;40000,"low")</f>
        <v>low</v>
      </c>
      <c r="K171" s="1" t="str">
        <f t="shared" si="8"/>
        <v>Average</v>
      </c>
    </row>
    <row r="172" spans="1:11" x14ac:dyDescent="0.3">
      <c r="A172" s="1">
        <v>1171</v>
      </c>
      <c r="B172" s="1" t="s">
        <v>27</v>
      </c>
      <c r="C172" s="1" t="s">
        <v>19</v>
      </c>
      <c r="D172" s="1" t="s">
        <v>21</v>
      </c>
      <c r="E172" s="1">
        <v>44462</v>
      </c>
      <c r="F172" s="1">
        <v>9032</v>
      </c>
      <c r="G172" s="24">
        <v>3</v>
      </c>
      <c r="H172" s="1" t="str">
        <f t="shared" si="6"/>
        <v>Junior</v>
      </c>
      <c r="I172" s="1" t="str">
        <f t="shared" si="7"/>
        <v>Main</v>
      </c>
      <c r="J172" s="1" t="str" cm="1">
        <f t="array" ref="J172">_xlfn.IFS(E172&gt;60000,"High",E172&gt;40000, "Medium", E172&lt;40000,"low")</f>
        <v>Medium</v>
      </c>
      <c r="K172" s="1" t="str">
        <f t="shared" si="8"/>
        <v>Average</v>
      </c>
    </row>
    <row r="173" spans="1:11" x14ac:dyDescent="0.3">
      <c r="A173" s="1">
        <v>1172</v>
      </c>
      <c r="B173" s="1" t="s">
        <v>28</v>
      </c>
      <c r="C173" s="1" t="s">
        <v>11</v>
      </c>
      <c r="D173" s="1" t="s">
        <v>9</v>
      </c>
      <c r="E173" s="1">
        <v>34266</v>
      </c>
      <c r="F173" s="1">
        <v>3393</v>
      </c>
      <c r="G173" s="24">
        <v>8</v>
      </c>
      <c r="H173" s="1" t="str">
        <f t="shared" si="6"/>
        <v>Junior</v>
      </c>
      <c r="I173" s="1" t="str">
        <f t="shared" si="7"/>
        <v>Main</v>
      </c>
      <c r="J173" s="1" t="str" cm="1">
        <f t="array" ref="J173">_xlfn.IFS(E173&gt;60000,"High",E173&gt;40000, "Medium", E173&lt;40000,"low")</f>
        <v>low</v>
      </c>
      <c r="K173" s="1" t="str">
        <f t="shared" si="8"/>
        <v>Average</v>
      </c>
    </row>
    <row r="174" spans="1:11" x14ac:dyDescent="0.3">
      <c r="A174" s="1">
        <v>1173</v>
      </c>
      <c r="B174" s="1" t="s">
        <v>13</v>
      </c>
      <c r="C174" s="1" t="s">
        <v>11</v>
      </c>
      <c r="D174" s="1" t="s">
        <v>21</v>
      </c>
      <c r="E174" s="1">
        <v>30560</v>
      </c>
      <c r="F174" s="1">
        <v>1838</v>
      </c>
      <c r="G174" s="24">
        <v>5</v>
      </c>
      <c r="H174" s="1" t="str">
        <f t="shared" si="6"/>
        <v>Junior</v>
      </c>
      <c r="I174" s="1" t="str">
        <f t="shared" si="7"/>
        <v>Main</v>
      </c>
      <c r="J174" s="1" t="str" cm="1">
        <f t="array" ref="J174">_xlfn.IFS(E174&gt;60000,"High",E174&gt;40000, "Medium", E174&lt;40000,"low")</f>
        <v>low</v>
      </c>
      <c r="K174" s="1" t="str">
        <f t="shared" si="8"/>
        <v>Average</v>
      </c>
    </row>
    <row r="175" spans="1:11" x14ac:dyDescent="0.3">
      <c r="A175" s="1">
        <v>1174</v>
      </c>
      <c r="B175" s="1" t="s">
        <v>28</v>
      </c>
      <c r="C175" s="1" t="s">
        <v>8</v>
      </c>
      <c r="D175" s="1" t="s">
        <v>9</v>
      </c>
      <c r="E175" s="1">
        <v>51855</v>
      </c>
      <c r="F175" s="1">
        <v>9985</v>
      </c>
      <c r="G175" s="24">
        <v>10</v>
      </c>
      <c r="H175" s="1" t="str">
        <f t="shared" si="6"/>
        <v>Senior</v>
      </c>
      <c r="I175" s="1" t="str">
        <f t="shared" si="7"/>
        <v>Main</v>
      </c>
      <c r="J175" s="1" t="str" cm="1">
        <f t="array" ref="J175">_xlfn.IFS(E175&gt;60000,"High",E175&gt;40000, "Medium", E175&lt;40000,"low")</f>
        <v>Medium</v>
      </c>
      <c r="K175" s="1" t="str">
        <f t="shared" si="8"/>
        <v>Average</v>
      </c>
    </row>
    <row r="176" spans="1:11" x14ac:dyDescent="0.3">
      <c r="A176" s="1">
        <v>1175</v>
      </c>
      <c r="B176" s="1" t="s">
        <v>18</v>
      </c>
      <c r="C176" s="1" t="s">
        <v>19</v>
      </c>
      <c r="D176" s="1" t="s">
        <v>21</v>
      </c>
      <c r="E176" s="1">
        <v>35005</v>
      </c>
      <c r="F176" s="1">
        <v>3384</v>
      </c>
      <c r="G176" s="24">
        <v>7</v>
      </c>
      <c r="H176" s="1" t="str">
        <f t="shared" si="6"/>
        <v>Junior</v>
      </c>
      <c r="I176" s="1" t="str">
        <f t="shared" si="7"/>
        <v>Main</v>
      </c>
      <c r="J176" s="1" t="str" cm="1">
        <f t="array" ref="J176">_xlfn.IFS(E176&gt;60000,"High",E176&gt;40000, "Medium", E176&lt;40000,"low")</f>
        <v>low</v>
      </c>
      <c r="K176" s="1" t="str">
        <f t="shared" si="8"/>
        <v>Average</v>
      </c>
    </row>
    <row r="177" spans="1:11" x14ac:dyDescent="0.3">
      <c r="A177" s="1">
        <v>1176</v>
      </c>
      <c r="B177" s="1" t="s">
        <v>31</v>
      </c>
      <c r="C177" s="1" t="s">
        <v>11</v>
      </c>
      <c r="D177" s="1" t="s">
        <v>12</v>
      </c>
      <c r="E177" s="1">
        <v>37553</v>
      </c>
      <c r="F177" s="1">
        <v>6097</v>
      </c>
      <c r="G177" s="24">
        <v>1</v>
      </c>
      <c r="H177" s="1" t="str">
        <f t="shared" si="6"/>
        <v>Junior</v>
      </c>
      <c r="I177" s="1" t="str">
        <f t="shared" si="7"/>
        <v>Other</v>
      </c>
      <c r="J177" s="1" t="str" cm="1">
        <f t="array" ref="J177">_xlfn.IFS(E177&gt;60000,"High",E177&gt;40000, "Medium", E177&lt;40000,"low")</f>
        <v>low</v>
      </c>
      <c r="K177" s="1" t="str">
        <f t="shared" si="8"/>
        <v>Average</v>
      </c>
    </row>
    <row r="178" spans="1:11" x14ac:dyDescent="0.3">
      <c r="A178" s="1">
        <v>1177</v>
      </c>
      <c r="B178" s="1" t="s">
        <v>20</v>
      </c>
      <c r="C178" s="1" t="s">
        <v>11</v>
      </c>
      <c r="D178" s="1" t="s">
        <v>12</v>
      </c>
      <c r="E178" s="1">
        <v>58007</v>
      </c>
      <c r="F178" s="1">
        <v>4127</v>
      </c>
      <c r="G178" s="24">
        <v>6</v>
      </c>
      <c r="H178" s="1" t="str">
        <f t="shared" si="6"/>
        <v>Senior</v>
      </c>
      <c r="I178" s="1" t="str">
        <f t="shared" si="7"/>
        <v>Other</v>
      </c>
      <c r="J178" s="1" t="str" cm="1">
        <f t="array" ref="J178">_xlfn.IFS(E178&gt;60000,"High",E178&gt;40000, "Medium", E178&lt;40000,"low")</f>
        <v>Medium</v>
      </c>
      <c r="K178" s="1" t="str">
        <f t="shared" si="8"/>
        <v>Good</v>
      </c>
    </row>
    <row r="179" spans="1:11" x14ac:dyDescent="0.3">
      <c r="A179" s="1">
        <v>1178</v>
      </c>
      <c r="B179" s="1" t="s">
        <v>26</v>
      </c>
      <c r="C179" s="1" t="s">
        <v>8</v>
      </c>
      <c r="D179" s="1" t="s">
        <v>12</v>
      </c>
      <c r="E179" s="1">
        <v>44886</v>
      </c>
      <c r="F179" s="1">
        <v>3752</v>
      </c>
      <c r="G179" s="24">
        <v>8</v>
      </c>
      <c r="H179" s="1" t="str">
        <f t="shared" si="6"/>
        <v>Junior</v>
      </c>
      <c r="I179" s="1" t="str">
        <f t="shared" si="7"/>
        <v>Other</v>
      </c>
      <c r="J179" s="1" t="str" cm="1">
        <f t="array" ref="J179">_xlfn.IFS(E179&gt;60000,"High",E179&gt;40000, "Medium", E179&lt;40000,"low")</f>
        <v>Medium</v>
      </c>
      <c r="K179" s="1" t="str">
        <f t="shared" si="8"/>
        <v>Average</v>
      </c>
    </row>
    <row r="180" spans="1:11" x14ac:dyDescent="0.3">
      <c r="A180" s="1">
        <v>1179</v>
      </c>
      <c r="B180" s="1" t="s">
        <v>31</v>
      </c>
      <c r="C180" s="1" t="s">
        <v>8</v>
      </c>
      <c r="D180" s="1" t="s">
        <v>12</v>
      </c>
      <c r="E180" s="1">
        <v>21895</v>
      </c>
      <c r="F180" s="1">
        <v>5325</v>
      </c>
      <c r="G180" s="24">
        <v>9</v>
      </c>
      <c r="H180" s="1" t="str">
        <f t="shared" si="6"/>
        <v>Junior</v>
      </c>
      <c r="I180" s="1" t="str">
        <f t="shared" si="7"/>
        <v>Other</v>
      </c>
      <c r="J180" s="1" t="str" cm="1">
        <f t="array" ref="J180">_xlfn.IFS(E180&gt;60000,"High",E180&gt;40000, "Medium", E180&lt;40000,"low")</f>
        <v>low</v>
      </c>
      <c r="K180" s="1" t="str">
        <f t="shared" si="8"/>
        <v>Average</v>
      </c>
    </row>
    <row r="181" spans="1:11" x14ac:dyDescent="0.3">
      <c r="A181" s="1">
        <v>1180</v>
      </c>
      <c r="B181" s="1" t="s">
        <v>27</v>
      </c>
      <c r="C181" s="1" t="s">
        <v>14</v>
      </c>
      <c r="D181" s="1" t="s">
        <v>9</v>
      </c>
      <c r="E181" s="1">
        <v>67885</v>
      </c>
      <c r="F181" s="1">
        <v>8490</v>
      </c>
      <c r="G181" s="24">
        <v>2</v>
      </c>
      <c r="H181" s="1" t="str">
        <f t="shared" si="6"/>
        <v>Junior</v>
      </c>
      <c r="I181" s="1" t="str">
        <f t="shared" si="7"/>
        <v>Main</v>
      </c>
      <c r="J181" s="1" t="str" cm="1">
        <f t="array" ref="J181">_xlfn.IFS(E181&gt;60000,"High",E181&gt;40000, "Medium", E181&lt;40000,"low")</f>
        <v>High</v>
      </c>
      <c r="K181" s="1" t="str">
        <f t="shared" si="8"/>
        <v>Good</v>
      </c>
    </row>
    <row r="182" spans="1:11" x14ac:dyDescent="0.3">
      <c r="A182" s="1">
        <v>1181</v>
      </c>
      <c r="B182" s="1" t="s">
        <v>33</v>
      </c>
      <c r="C182" s="1" t="s">
        <v>14</v>
      </c>
      <c r="D182" s="1" t="s">
        <v>12</v>
      </c>
      <c r="E182" s="1">
        <v>54803</v>
      </c>
      <c r="F182" s="1">
        <v>9775</v>
      </c>
      <c r="G182" s="24">
        <v>6</v>
      </c>
      <c r="H182" s="1" t="str">
        <f t="shared" si="6"/>
        <v>Senior</v>
      </c>
      <c r="I182" s="1" t="str">
        <f t="shared" si="7"/>
        <v>Other</v>
      </c>
      <c r="J182" s="1" t="str" cm="1">
        <f t="array" ref="J182">_xlfn.IFS(E182&gt;60000,"High",E182&gt;40000, "Medium", E182&lt;40000,"low")</f>
        <v>Medium</v>
      </c>
      <c r="K182" s="1" t="str">
        <f t="shared" si="8"/>
        <v>Good</v>
      </c>
    </row>
    <row r="183" spans="1:11" x14ac:dyDescent="0.3">
      <c r="A183" s="1">
        <v>1182</v>
      </c>
      <c r="B183" s="1" t="s">
        <v>20</v>
      </c>
      <c r="C183" s="1" t="s">
        <v>14</v>
      </c>
      <c r="D183" s="1" t="s">
        <v>15</v>
      </c>
      <c r="E183" s="1">
        <v>33998</v>
      </c>
      <c r="F183" s="1">
        <v>9740</v>
      </c>
      <c r="G183" s="24">
        <v>1</v>
      </c>
      <c r="H183" s="1" t="str">
        <f t="shared" si="6"/>
        <v>Junior</v>
      </c>
      <c r="I183" s="1" t="str">
        <f t="shared" si="7"/>
        <v>Other</v>
      </c>
      <c r="J183" s="1" t="str" cm="1">
        <f t="array" ref="J183">_xlfn.IFS(E183&gt;60000,"High",E183&gt;40000, "Medium", E183&lt;40000,"low")</f>
        <v>low</v>
      </c>
      <c r="K183" s="1" t="str">
        <f t="shared" si="8"/>
        <v>Average</v>
      </c>
    </row>
    <row r="184" spans="1:11" x14ac:dyDescent="0.3">
      <c r="A184" s="1">
        <v>1183</v>
      </c>
      <c r="B184" s="1" t="s">
        <v>13</v>
      </c>
      <c r="C184" s="1" t="s">
        <v>14</v>
      </c>
      <c r="D184" s="1" t="s">
        <v>15</v>
      </c>
      <c r="E184" s="1">
        <v>42192</v>
      </c>
      <c r="F184" s="1">
        <v>4501</v>
      </c>
      <c r="G184" s="24">
        <v>1</v>
      </c>
      <c r="H184" s="1" t="str">
        <f t="shared" si="6"/>
        <v>Junior</v>
      </c>
      <c r="I184" s="1" t="str">
        <f t="shared" si="7"/>
        <v>Other</v>
      </c>
      <c r="J184" s="1" t="str" cm="1">
        <f t="array" ref="J184">_xlfn.IFS(E184&gt;60000,"High",E184&gt;40000, "Medium", E184&lt;40000,"low")</f>
        <v>Medium</v>
      </c>
      <c r="K184" s="1" t="str">
        <f t="shared" si="8"/>
        <v>Average</v>
      </c>
    </row>
    <row r="185" spans="1:11" x14ac:dyDescent="0.3">
      <c r="A185" s="1">
        <v>1184</v>
      </c>
      <c r="B185" s="1" t="s">
        <v>23</v>
      </c>
      <c r="C185" s="1" t="s">
        <v>11</v>
      </c>
      <c r="D185" s="1" t="s">
        <v>15</v>
      </c>
      <c r="E185" s="1">
        <v>38608</v>
      </c>
      <c r="F185" s="1">
        <v>1166</v>
      </c>
      <c r="G185" s="24">
        <v>7</v>
      </c>
      <c r="H185" s="1" t="str">
        <f t="shared" si="6"/>
        <v>Junior</v>
      </c>
      <c r="I185" s="1" t="str">
        <f t="shared" si="7"/>
        <v>Other</v>
      </c>
      <c r="J185" s="1" t="str" cm="1">
        <f t="array" ref="J185">_xlfn.IFS(E185&gt;60000,"High",E185&gt;40000, "Medium", E185&lt;40000,"low")</f>
        <v>low</v>
      </c>
      <c r="K185" s="1" t="str">
        <f t="shared" si="8"/>
        <v>Average</v>
      </c>
    </row>
    <row r="186" spans="1:11" x14ac:dyDescent="0.3">
      <c r="A186" s="1">
        <v>1185</v>
      </c>
      <c r="B186" s="1" t="s">
        <v>30</v>
      </c>
      <c r="C186" s="1" t="s">
        <v>8</v>
      </c>
      <c r="D186" s="1" t="s">
        <v>9</v>
      </c>
      <c r="E186" s="1">
        <v>56134</v>
      </c>
      <c r="F186" s="1">
        <v>2119</v>
      </c>
      <c r="G186" s="24">
        <v>3</v>
      </c>
      <c r="H186" s="1" t="str">
        <f t="shared" si="6"/>
        <v>Junior</v>
      </c>
      <c r="I186" s="1" t="str">
        <f t="shared" si="7"/>
        <v>Main</v>
      </c>
      <c r="J186" s="1" t="str" cm="1">
        <f t="array" ref="J186">_xlfn.IFS(E186&gt;60000,"High",E186&gt;40000, "Medium", E186&lt;40000,"low")</f>
        <v>Medium</v>
      </c>
      <c r="K186" s="1" t="str">
        <f t="shared" si="8"/>
        <v>Average</v>
      </c>
    </row>
    <row r="187" spans="1:11" x14ac:dyDescent="0.3">
      <c r="A187" s="1">
        <v>1186</v>
      </c>
      <c r="B187" s="1" t="s">
        <v>27</v>
      </c>
      <c r="C187" s="1" t="s">
        <v>19</v>
      </c>
      <c r="D187" s="1" t="s">
        <v>9</v>
      </c>
      <c r="E187" s="1">
        <v>47213</v>
      </c>
      <c r="F187" s="1">
        <v>2028</v>
      </c>
      <c r="G187" s="24">
        <v>3</v>
      </c>
      <c r="H187" s="1" t="str">
        <f t="shared" si="6"/>
        <v>Junior</v>
      </c>
      <c r="I187" s="1" t="str">
        <f t="shared" si="7"/>
        <v>Main</v>
      </c>
      <c r="J187" s="1" t="str" cm="1">
        <f t="array" ref="J187">_xlfn.IFS(E187&gt;60000,"High",E187&gt;40000, "Medium", E187&lt;40000,"low")</f>
        <v>Medium</v>
      </c>
      <c r="K187" s="1" t="str">
        <f t="shared" si="8"/>
        <v>Average</v>
      </c>
    </row>
    <row r="188" spans="1:11" x14ac:dyDescent="0.3">
      <c r="A188" s="1">
        <v>1187</v>
      </c>
      <c r="B188" s="1" t="s">
        <v>7</v>
      </c>
      <c r="C188" s="1" t="s">
        <v>8</v>
      </c>
      <c r="D188" s="1" t="s">
        <v>9</v>
      </c>
      <c r="E188" s="1">
        <v>31666</v>
      </c>
      <c r="F188" s="1">
        <v>1066</v>
      </c>
      <c r="G188" s="24">
        <v>7</v>
      </c>
      <c r="H188" s="1" t="str">
        <f t="shared" si="6"/>
        <v>Junior</v>
      </c>
      <c r="I188" s="1" t="str">
        <f t="shared" si="7"/>
        <v>Main</v>
      </c>
      <c r="J188" s="1" t="str" cm="1">
        <f t="array" ref="J188">_xlfn.IFS(E188&gt;60000,"High",E188&gt;40000, "Medium", E188&lt;40000,"low")</f>
        <v>low</v>
      </c>
      <c r="K188" s="1" t="str">
        <f t="shared" si="8"/>
        <v>Average</v>
      </c>
    </row>
    <row r="189" spans="1:11" x14ac:dyDescent="0.3">
      <c r="A189" s="1">
        <v>1188</v>
      </c>
      <c r="B189" s="1" t="s">
        <v>32</v>
      </c>
      <c r="C189" s="1" t="s">
        <v>8</v>
      </c>
      <c r="D189" s="1" t="s">
        <v>9</v>
      </c>
      <c r="E189" s="1">
        <v>32596</v>
      </c>
      <c r="F189" s="1">
        <v>1819</v>
      </c>
      <c r="G189" s="24">
        <v>10</v>
      </c>
      <c r="H189" s="1" t="str">
        <f t="shared" si="6"/>
        <v>Junior</v>
      </c>
      <c r="I189" s="1" t="str">
        <f t="shared" si="7"/>
        <v>Main</v>
      </c>
      <c r="J189" s="1" t="str" cm="1">
        <f t="array" ref="J189">_xlfn.IFS(E189&gt;60000,"High",E189&gt;40000, "Medium", E189&lt;40000,"low")</f>
        <v>low</v>
      </c>
      <c r="K189" s="1" t="str">
        <f t="shared" si="8"/>
        <v>Average</v>
      </c>
    </row>
    <row r="190" spans="1:11" x14ac:dyDescent="0.3">
      <c r="A190" s="1">
        <v>1189</v>
      </c>
      <c r="B190" s="1" t="s">
        <v>30</v>
      </c>
      <c r="C190" s="1" t="s">
        <v>11</v>
      </c>
      <c r="D190" s="1" t="s">
        <v>12</v>
      </c>
      <c r="E190" s="1">
        <v>69517</v>
      </c>
      <c r="F190" s="1">
        <v>3075</v>
      </c>
      <c r="G190" s="24">
        <v>7</v>
      </c>
      <c r="H190" s="1" t="str">
        <f t="shared" si="6"/>
        <v>Senior</v>
      </c>
      <c r="I190" s="1" t="str">
        <f t="shared" si="7"/>
        <v>Other</v>
      </c>
      <c r="J190" s="1" t="str" cm="1">
        <f t="array" ref="J190">_xlfn.IFS(E190&gt;60000,"High",E190&gt;40000, "Medium", E190&lt;40000,"low")</f>
        <v>High</v>
      </c>
      <c r="K190" s="1" t="str">
        <f t="shared" si="8"/>
        <v>Average</v>
      </c>
    </row>
    <row r="191" spans="1:11" x14ac:dyDescent="0.3">
      <c r="A191" s="1">
        <v>1190</v>
      </c>
      <c r="B191" s="1" t="s">
        <v>7</v>
      </c>
      <c r="C191" s="1" t="s">
        <v>14</v>
      </c>
      <c r="D191" s="1" t="s">
        <v>15</v>
      </c>
      <c r="E191" s="1">
        <v>55079</v>
      </c>
      <c r="F191" s="1">
        <v>9032</v>
      </c>
      <c r="G191" s="24">
        <v>7</v>
      </c>
      <c r="H191" s="1" t="str">
        <f t="shared" si="6"/>
        <v>Senior</v>
      </c>
      <c r="I191" s="1" t="str">
        <f t="shared" si="7"/>
        <v>Other</v>
      </c>
      <c r="J191" s="1" t="str" cm="1">
        <f t="array" ref="J191">_xlfn.IFS(E191&gt;60000,"High",E191&gt;40000, "Medium", E191&lt;40000,"low")</f>
        <v>Medium</v>
      </c>
      <c r="K191" s="1" t="str">
        <f t="shared" si="8"/>
        <v>Average</v>
      </c>
    </row>
    <row r="192" spans="1:11" x14ac:dyDescent="0.3">
      <c r="A192" s="1">
        <v>1191</v>
      </c>
      <c r="B192" s="1" t="s">
        <v>13</v>
      </c>
      <c r="C192" s="1" t="s">
        <v>11</v>
      </c>
      <c r="D192" s="1" t="s">
        <v>9</v>
      </c>
      <c r="E192" s="1">
        <v>66992</v>
      </c>
      <c r="F192" s="1">
        <v>9201</v>
      </c>
      <c r="G192" s="24">
        <v>4</v>
      </c>
      <c r="H192" s="1" t="str">
        <f t="shared" si="6"/>
        <v>Junior</v>
      </c>
      <c r="I192" s="1" t="str">
        <f t="shared" si="7"/>
        <v>Main</v>
      </c>
      <c r="J192" s="1" t="str" cm="1">
        <f t="array" ref="J192">_xlfn.IFS(E192&gt;60000,"High",E192&gt;40000, "Medium", E192&lt;40000,"low")</f>
        <v>High</v>
      </c>
      <c r="K192" s="1" t="str">
        <f t="shared" si="8"/>
        <v>Good</v>
      </c>
    </row>
    <row r="193" spans="1:11" x14ac:dyDescent="0.3">
      <c r="A193" s="1">
        <v>1192</v>
      </c>
      <c r="B193" s="1" t="s">
        <v>20</v>
      </c>
      <c r="C193" s="1" t="s">
        <v>8</v>
      </c>
      <c r="D193" s="1" t="s">
        <v>21</v>
      </c>
      <c r="E193" s="1">
        <v>44664</v>
      </c>
      <c r="F193" s="1">
        <v>8413</v>
      </c>
      <c r="G193" s="24">
        <v>6</v>
      </c>
      <c r="H193" s="1" t="str">
        <f t="shared" si="6"/>
        <v>Junior</v>
      </c>
      <c r="I193" s="1" t="str">
        <f t="shared" si="7"/>
        <v>Main</v>
      </c>
      <c r="J193" s="1" t="str" cm="1">
        <f t="array" ref="J193">_xlfn.IFS(E193&gt;60000,"High",E193&gt;40000, "Medium", E193&lt;40000,"low")</f>
        <v>Medium</v>
      </c>
      <c r="K193" s="1" t="str">
        <f t="shared" si="8"/>
        <v>Average</v>
      </c>
    </row>
    <row r="194" spans="1:11" x14ac:dyDescent="0.3">
      <c r="A194" s="1">
        <v>1193</v>
      </c>
      <c r="B194" s="1" t="s">
        <v>32</v>
      </c>
      <c r="C194" s="1" t="s">
        <v>14</v>
      </c>
      <c r="D194" s="1" t="s">
        <v>15</v>
      </c>
      <c r="E194" s="1">
        <v>47580</v>
      </c>
      <c r="F194" s="1">
        <v>4552</v>
      </c>
      <c r="G194" s="24">
        <v>6</v>
      </c>
      <c r="H194" s="1" t="str">
        <f t="shared" si="6"/>
        <v>Junior</v>
      </c>
      <c r="I194" s="1" t="str">
        <f t="shared" si="7"/>
        <v>Other</v>
      </c>
      <c r="J194" s="1" t="str" cm="1">
        <f t="array" ref="J194">_xlfn.IFS(E194&gt;60000,"High",E194&gt;40000, "Medium", E194&lt;40000,"low")</f>
        <v>Medium</v>
      </c>
      <c r="K194" s="1" t="str">
        <f t="shared" si="8"/>
        <v>Average</v>
      </c>
    </row>
    <row r="195" spans="1:11" x14ac:dyDescent="0.3">
      <c r="A195" s="1">
        <v>1194</v>
      </c>
      <c r="B195" s="1" t="s">
        <v>13</v>
      </c>
      <c r="C195" s="1" t="s">
        <v>8</v>
      </c>
      <c r="D195" s="1" t="s">
        <v>21</v>
      </c>
      <c r="E195" s="1">
        <v>36345</v>
      </c>
      <c r="F195" s="1">
        <v>9023</v>
      </c>
      <c r="G195" s="24">
        <v>6</v>
      </c>
      <c r="H195" s="1" t="str">
        <f t="shared" ref="H195:H201" si="9">IF(AND(E195&gt;50000,G195&gt;5),"Senior", "Junior")</f>
        <v>Junior</v>
      </c>
      <c r="I195" s="1" t="str">
        <f t="shared" ref="I195:I201" si="10">IF(OR(D195="South",D195="North"), "Main", "Other")</f>
        <v>Main</v>
      </c>
      <c r="J195" s="1" t="str" cm="1">
        <f t="array" ref="J195">_xlfn.IFS(E195&gt;60000,"High",E195&gt;40000, "Medium", E195&lt;40000,"low")</f>
        <v>low</v>
      </c>
      <c r="K195" s="1" t="str">
        <f t="shared" ref="K195:K201" si="11">IF(AND(E195&gt;50000,F194&gt;5000),"Good", "Average")</f>
        <v>Average</v>
      </c>
    </row>
    <row r="196" spans="1:11" x14ac:dyDescent="0.3">
      <c r="A196" s="1">
        <v>1195</v>
      </c>
      <c r="B196" s="1" t="s">
        <v>33</v>
      </c>
      <c r="C196" s="1" t="s">
        <v>8</v>
      </c>
      <c r="D196" s="1" t="s">
        <v>15</v>
      </c>
      <c r="E196" s="1">
        <v>52111</v>
      </c>
      <c r="F196" s="1">
        <v>5478</v>
      </c>
      <c r="G196" s="24">
        <v>9</v>
      </c>
      <c r="H196" s="1" t="str">
        <f t="shared" si="9"/>
        <v>Senior</v>
      </c>
      <c r="I196" s="1" t="str">
        <f t="shared" si="10"/>
        <v>Other</v>
      </c>
      <c r="J196" s="1" t="str" cm="1">
        <f t="array" ref="J196">_xlfn.IFS(E196&gt;60000,"High",E196&gt;40000, "Medium", E196&lt;40000,"low")</f>
        <v>Medium</v>
      </c>
      <c r="K196" s="1" t="str">
        <f t="shared" si="11"/>
        <v>Good</v>
      </c>
    </row>
    <row r="197" spans="1:11" x14ac:dyDescent="0.3">
      <c r="A197" s="1">
        <v>1196</v>
      </c>
      <c r="B197" s="1" t="s">
        <v>26</v>
      </c>
      <c r="C197" s="1" t="s">
        <v>11</v>
      </c>
      <c r="D197" s="1" t="s">
        <v>21</v>
      </c>
      <c r="E197" s="1">
        <v>64671</v>
      </c>
      <c r="F197" s="1">
        <v>8872</v>
      </c>
      <c r="G197" s="24">
        <v>2</v>
      </c>
      <c r="H197" s="1" t="str">
        <f t="shared" si="9"/>
        <v>Junior</v>
      </c>
      <c r="I197" s="1" t="str">
        <f t="shared" si="10"/>
        <v>Main</v>
      </c>
      <c r="J197" s="1" t="str" cm="1">
        <f t="array" ref="J197">_xlfn.IFS(E197&gt;60000,"High",E197&gt;40000, "Medium", E197&lt;40000,"low")</f>
        <v>High</v>
      </c>
      <c r="K197" s="1" t="str">
        <f t="shared" si="11"/>
        <v>Good</v>
      </c>
    </row>
    <row r="198" spans="1:11" x14ac:dyDescent="0.3">
      <c r="A198" s="1">
        <v>1197</v>
      </c>
      <c r="B198" s="1" t="s">
        <v>13</v>
      </c>
      <c r="C198" s="1" t="s">
        <v>11</v>
      </c>
      <c r="D198" s="1" t="s">
        <v>12</v>
      </c>
      <c r="E198" s="1">
        <v>40141</v>
      </c>
      <c r="F198" s="1">
        <v>8464</v>
      </c>
      <c r="G198" s="24">
        <v>5</v>
      </c>
      <c r="H198" s="1" t="str">
        <f t="shared" si="9"/>
        <v>Junior</v>
      </c>
      <c r="I198" s="1" t="str">
        <f t="shared" si="10"/>
        <v>Other</v>
      </c>
      <c r="J198" s="1" t="str" cm="1">
        <f t="array" ref="J198">_xlfn.IFS(E198&gt;60000,"High",E198&gt;40000, "Medium", E198&lt;40000,"low")</f>
        <v>Medium</v>
      </c>
      <c r="K198" s="1" t="str">
        <f t="shared" si="11"/>
        <v>Average</v>
      </c>
    </row>
    <row r="199" spans="1:11" x14ac:dyDescent="0.3">
      <c r="A199" s="1">
        <v>1198</v>
      </c>
      <c r="B199" s="1" t="s">
        <v>18</v>
      </c>
      <c r="C199" s="1" t="s">
        <v>14</v>
      </c>
      <c r="D199" s="1" t="s">
        <v>21</v>
      </c>
      <c r="E199" s="1">
        <v>43489</v>
      </c>
      <c r="F199" s="1">
        <v>2907</v>
      </c>
      <c r="G199" s="24">
        <v>4</v>
      </c>
      <c r="H199" s="1" t="str">
        <f t="shared" si="9"/>
        <v>Junior</v>
      </c>
      <c r="I199" s="1" t="str">
        <f t="shared" si="10"/>
        <v>Main</v>
      </c>
      <c r="J199" s="1" t="str" cm="1">
        <f t="array" ref="J199">_xlfn.IFS(E199&gt;60000,"High",E199&gt;40000, "Medium", E199&lt;40000,"low")</f>
        <v>Medium</v>
      </c>
      <c r="K199" s="1" t="str">
        <f t="shared" si="11"/>
        <v>Average</v>
      </c>
    </row>
    <row r="200" spans="1:11" x14ac:dyDescent="0.3">
      <c r="A200" s="1">
        <v>1199</v>
      </c>
      <c r="B200" s="1" t="s">
        <v>24</v>
      </c>
      <c r="C200" s="1" t="s">
        <v>8</v>
      </c>
      <c r="D200" s="1" t="s">
        <v>15</v>
      </c>
      <c r="E200" s="1">
        <v>69522</v>
      </c>
      <c r="F200" s="1">
        <v>7203</v>
      </c>
      <c r="G200" s="24">
        <v>7</v>
      </c>
      <c r="H200" s="1" t="str">
        <f t="shared" si="9"/>
        <v>Senior</v>
      </c>
      <c r="I200" s="1" t="str">
        <f t="shared" si="10"/>
        <v>Other</v>
      </c>
      <c r="J200" s="1" t="str" cm="1">
        <f t="array" ref="J200">_xlfn.IFS(E200&gt;60000,"High",E200&gt;40000, "Medium", E200&lt;40000,"low")</f>
        <v>High</v>
      </c>
      <c r="K200" s="1" t="str">
        <f t="shared" si="11"/>
        <v>Average</v>
      </c>
    </row>
    <row r="201" spans="1:11" x14ac:dyDescent="0.3">
      <c r="A201" s="1">
        <v>1200</v>
      </c>
      <c r="B201" s="1" t="s">
        <v>31</v>
      </c>
      <c r="C201" s="1" t="s">
        <v>8</v>
      </c>
      <c r="D201" s="1" t="s">
        <v>15</v>
      </c>
      <c r="E201" s="1">
        <v>31001</v>
      </c>
      <c r="F201" s="1">
        <v>6324</v>
      </c>
      <c r="G201" s="24">
        <v>9</v>
      </c>
      <c r="H201" s="1" t="str">
        <f t="shared" si="9"/>
        <v>Junior</v>
      </c>
      <c r="I201" s="1" t="str">
        <f t="shared" si="10"/>
        <v>Other</v>
      </c>
      <c r="J201" s="1" t="str" cm="1">
        <f t="array" ref="J201">_xlfn.IFS(E201&gt;60000,"High",E201&gt;40000, "Medium", E201&lt;40000,"low")</f>
        <v>low</v>
      </c>
      <c r="K201" s="1" t="str">
        <f t="shared" si="11"/>
        <v>Average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1D19-9613-4CA5-A44F-C13E2BEC7880}">
  <dimension ref="A1:P201"/>
  <sheetViews>
    <sheetView tabSelected="1" workbookViewId="0">
      <selection activeCell="L14" sqref="L14"/>
    </sheetView>
  </sheetViews>
  <sheetFormatPr defaultRowHeight="14.4" x14ac:dyDescent="0.3"/>
  <cols>
    <col min="7" max="7" width="15.44140625" bestFit="1" customWidth="1"/>
    <col min="8" max="8" width="23" style="27" bestFit="1" customWidth="1"/>
    <col min="9" max="9" width="20.44140625" style="27" bestFit="1" customWidth="1"/>
    <col min="10" max="10" width="18.5546875" style="1" bestFit="1" customWidth="1"/>
    <col min="11" max="11" width="10.5546875" style="1" bestFit="1" customWidth="1"/>
    <col min="12" max="13" width="8.88671875" style="1"/>
    <col min="14" max="14" width="17.21875" style="1" bestFit="1" customWidth="1"/>
    <col min="15" max="15" width="14" style="1" bestFit="1" customWidth="1"/>
    <col min="16" max="16" width="8.88671875" style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26" t="s">
        <v>48</v>
      </c>
      <c r="I1" s="26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</row>
    <row r="2" spans="1:16" x14ac:dyDescent="0.3">
      <c r="A2" s="1">
        <v>1001</v>
      </c>
      <c r="B2" s="1" t="s">
        <v>7</v>
      </c>
      <c r="C2" s="1" t="s">
        <v>8</v>
      </c>
      <c r="D2" s="1" t="s">
        <v>9</v>
      </c>
      <c r="E2" s="1">
        <v>50226</v>
      </c>
      <c r="F2" s="1">
        <v>5581</v>
      </c>
      <c r="G2" s="24">
        <v>4</v>
      </c>
      <c r="H2" s="27" t="str">
        <f>LEFT(B2,2)</f>
        <v>Jo</v>
      </c>
      <c r="I2" s="28" t="str">
        <f>RIGHT(B2,2)</f>
        <v>hn</v>
      </c>
      <c r="J2" s="27">
        <f>LEN(B2)</f>
        <v>4</v>
      </c>
      <c r="K2" s="1" t="str">
        <f>UPPER(B2)</f>
        <v>JOHN</v>
      </c>
      <c r="L2" s="1" t="str">
        <f>LOWER(B2)</f>
        <v>john</v>
      </c>
      <c r="M2" s="1" t="str">
        <f>TRIM(B2)</f>
        <v>John</v>
      </c>
      <c r="N2" s="1" t="str">
        <f>_xlfn.CONCAT(B2,  " - ", C2)</f>
        <v>John - IT</v>
      </c>
      <c r="O2" s="1" t="str">
        <f>SUBSTITUTE(N2," -", " ")</f>
        <v>John  IT</v>
      </c>
      <c r="P2" s="1" t="str">
        <f>MID(B2,1,3)</f>
        <v>Joh</v>
      </c>
    </row>
    <row r="3" spans="1:16" x14ac:dyDescent="0.3">
      <c r="A3" s="1">
        <v>1002</v>
      </c>
      <c r="B3" s="1" t="s">
        <v>10</v>
      </c>
      <c r="C3" s="1" t="s">
        <v>11</v>
      </c>
      <c r="D3" s="1" t="s">
        <v>12</v>
      </c>
      <c r="E3" s="1">
        <v>20625</v>
      </c>
      <c r="F3" s="1">
        <v>6504</v>
      </c>
      <c r="G3" s="24">
        <v>8</v>
      </c>
      <c r="H3" s="27" t="str">
        <f t="shared" ref="H3:H66" si="0">LEFT(B3,2)</f>
        <v>Me</v>
      </c>
      <c r="I3" s="28" t="str">
        <f t="shared" ref="I3:I66" si="1">RIGHT(B3,2)</f>
        <v>na</v>
      </c>
      <c r="J3" s="27">
        <f t="shared" ref="J3:J66" si="2">LEN(B3)</f>
        <v>5</v>
      </c>
      <c r="K3" s="1" t="str">
        <f t="shared" ref="K3:K66" si="3">UPPER(B3)</f>
        <v>MEENA</v>
      </c>
      <c r="L3" s="1" t="str">
        <f t="shared" ref="L3:L66" si="4">LOWER(B3)</f>
        <v>meena</v>
      </c>
      <c r="M3" s="1" t="str">
        <f t="shared" ref="M3:M66" si="5">TRIM(B3)</f>
        <v>Meena</v>
      </c>
      <c r="N3" s="1" t="str">
        <f t="shared" ref="N3:N66" si="6">_xlfn.CONCAT(B3,  " - ", C3)</f>
        <v>Meena - Finance</v>
      </c>
      <c r="O3" s="1" t="str">
        <f t="shared" ref="O3:O66" si="7">SUBSTITUTE(N3," -", " ")</f>
        <v>Meena  Finance</v>
      </c>
      <c r="P3" s="1" t="str">
        <f t="shared" ref="P3:P66" si="8">MID(B3,1,3)</f>
        <v>Mee</v>
      </c>
    </row>
    <row r="4" spans="1:16" x14ac:dyDescent="0.3">
      <c r="A4" s="1">
        <v>1003</v>
      </c>
      <c r="B4" s="1" t="s">
        <v>13</v>
      </c>
      <c r="C4" s="1" t="s">
        <v>14</v>
      </c>
      <c r="D4" s="1" t="s">
        <v>15</v>
      </c>
      <c r="E4" s="1">
        <v>54226</v>
      </c>
      <c r="F4" s="1">
        <v>8405</v>
      </c>
      <c r="G4" s="24">
        <v>1</v>
      </c>
      <c r="H4" s="27" t="str">
        <f t="shared" si="0"/>
        <v>Te</v>
      </c>
      <c r="I4" s="28" t="str">
        <f t="shared" si="1"/>
        <v>ja</v>
      </c>
      <c r="J4" s="27">
        <f t="shared" si="2"/>
        <v>4</v>
      </c>
      <c r="K4" s="1" t="str">
        <f t="shared" si="3"/>
        <v>TEJA</v>
      </c>
      <c r="L4" s="1" t="str">
        <f t="shared" si="4"/>
        <v>teja</v>
      </c>
      <c r="M4" s="1" t="str">
        <f t="shared" si="5"/>
        <v>Teja</v>
      </c>
      <c r="N4" s="1" t="str">
        <f t="shared" si="6"/>
        <v>Teja - HR</v>
      </c>
      <c r="O4" s="1" t="str">
        <f t="shared" si="7"/>
        <v>Teja  HR</v>
      </c>
      <c r="P4" s="1" t="str">
        <f t="shared" si="8"/>
        <v>Tej</v>
      </c>
    </row>
    <row r="5" spans="1:16" x14ac:dyDescent="0.3">
      <c r="A5" s="1">
        <v>1004</v>
      </c>
      <c r="B5" s="1" t="s">
        <v>16</v>
      </c>
      <c r="C5" s="1" t="s">
        <v>14</v>
      </c>
      <c r="D5" s="1" t="s">
        <v>12</v>
      </c>
      <c r="E5" s="1">
        <v>20937</v>
      </c>
      <c r="F5" s="1">
        <v>9217</v>
      </c>
      <c r="G5" s="24">
        <v>3</v>
      </c>
      <c r="H5" s="27" t="str">
        <f t="shared" si="0"/>
        <v>Fa</v>
      </c>
      <c r="I5" s="28" t="str">
        <f t="shared" si="1"/>
        <v>an</v>
      </c>
      <c r="J5" s="27">
        <f t="shared" si="2"/>
        <v>6</v>
      </c>
      <c r="K5" s="1" t="str">
        <f t="shared" si="3"/>
        <v>FARHAN</v>
      </c>
      <c r="L5" s="1" t="str">
        <f t="shared" si="4"/>
        <v>farhan</v>
      </c>
      <c r="M5" s="1" t="str">
        <f t="shared" si="5"/>
        <v>Farhan</v>
      </c>
      <c r="N5" s="1" t="str">
        <f t="shared" si="6"/>
        <v>Farhan - HR</v>
      </c>
      <c r="O5" s="1" t="str">
        <f t="shared" si="7"/>
        <v>Farhan  HR</v>
      </c>
      <c r="P5" s="1" t="str">
        <f t="shared" si="8"/>
        <v>Far</v>
      </c>
    </row>
    <row r="6" spans="1:16" x14ac:dyDescent="0.3">
      <c r="A6" s="1">
        <v>1005</v>
      </c>
      <c r="B6" s="1" t="s">
        <v>17</v>
      </c>
      <c r="C6" s="1" t="s">
        <v>8</v>
      </c>
      <c r="D6" s="1" t="s">
        <v>9</v>
      </c>
      <c r="E6" s="1">
        <v>76227</v>
      </c>
      <c r="F6" s="1">
        <v>7057</v>
      </c>
      <c r="G6" s="24">
        <v>5</v>
      </c>
      <c r="H6" s="27" t="str">
        <f t="shared" si="0"/>
        <v>Ki</v>
      </c>
      <c r="I6" s="28" t="str">
        <f t="shared" si="1"/>
        <v>an</v>
      </c>
      <c r="J6" s="27">
        <f t="shared" si="2"/>
        <v>5</v>
      </c>
      <c r="K6" s="1" t="str">
        <f t="shared" si="3"/>
        <v>KIRAN</v>
      </c>
      <c r="L6" s="1" t="str">
        <f t="shared" si="4"/>
        <v>kiran</v>
      </c>
      <c r="M6" s="1" t="str">
        <f t="shared" si="5"/>
        <v>Kiran</v>
      </c>
      <c r="N6" s="1" t="str">
        <f t="shared" si="6"/>
        <v>Kiran - IT</v>
      </c>
      <c r="O6" s="1" t="str">
        <f t="shared" si="7"/>
        <v>Kiran  IT</v>
      </c>
      <c r="P6" s="1" t="str">
        <f t="shared" si="8"/>
        <v>Kir</v>
      </c>
    </row>
    <row r="7" spans="1:16" x14ac:dyDescent="0.3">
      <c r="A7" s="1">
        <v>1006</v>
      </c>
      <c r="B7" s="1" t="s">
        <v>18</v>
      </c>
      <c r="C7" s="1" t="s">
        <v>11</v>
      </c>
      <c r="D7" s="1" t="s">
        <v>12</v>
      </c>
      <c r="E7" s="1">
        <v>67297</v>
      </c>
      <c r="F7" s="1">
        <v>8259</v>
      </c>
      <c r="G7" s="24">
        <v>8</v>
      </c>
      <c r="H7" s="27" t="str">
        <f t="shared" si="0"/>
        <v>Ni</v>
      </c>
      <c r="I7" s="28" t="str">
        <f t="shared" si="1"/>
        <v>il</v>
      </c>
      <c r="J7" s="27">
        <f t="shared" si="2"/>
        <v>6</v>
      </c>
      <c r="K7" s="1" t="str">
        <f t="shared" si="3"/>
        <v>NIKHIL</v>
      </c>
      <c r="L7" s="1" t="str">
        <f t="shared" si="4"/>
        <v>nikhil</v>
      </c>
      <c r="M7" s="1" t="str">
        <f t="shared" si="5"/>
        <v>Nikhil</v>
      </c>
      <c r="N7" s="1" t="str">
        <f t="shared" si="6"/>
        <v>Nikhil - Finance</v>
      </c>
      <c r="O7" s="1" t="str">
        <f t="shared" si="7"/>
        <v>Nikhil  Finance</v>
      </c>
      <c r="P7" s="1" t="str">
        <f t="shared" si="8"/>
        <v>Nik</v>
      </c>
    </row>
    <row r="8" spans="1:16" x14ac:dyDescent="0.3">
      <c r="A8" s="1">
        <v>1007</v>
      </c>
      <c r="B8" s="1" t="s">
        <v>16</v>
      </c>
      <c r="C8" s="1" t="s">
        <v>19</v>
      </c>
      <c r="D8" s="1" t="s">
        <v>15</v>
      </c>
      <c r="E8" s="1">
        <v>29660</v>
      </c>
      <c r="F8" s="1">
        <v>2245</v>
      </c>
      <c r="G8" s="24">
        <v>9</v>
      </c>
      <c r="H8" s="27" t="str">
        <f t="shared" si="0"/>
        <v>Fa</v>
      </c>
      <c r="I8" s="28" t="str">
        <f t="shared" si="1"/>
        <v>an</v>
      </c>
      <c r="J8" s="27">
        <f t="shared" si="2"/>
        <v>6</v>
      </c>
      <c r="K8" s="1" t="str">
        <f t="shared" si="3"/>
        <v>FARHAN</v>
      </c>
      <c r="L8" s="1" t="str">
        <f t="shared" si="4"/>
        <v>farhan</v>
      </c>
      <c r="M8" s="1" t="str">
        <f t="shared" si="5"/>
        <v>Farhan</v>
      </c>
      <c r="N8" s="1" t="str">
        <f t="shared" si="6"/>
        <v>Farhan - Sales</v>
      </c>
      <c r="O8" s="1" t="str">
        <f t="shared" si="7"/>
        <v>Farhan  Sales</v>
      </c>
      <c r="P8" s="1" t="str">
        <f t="shared" si="8"/>
        <v>Far</v>
      </c>
    </row>
    <row r="9" spans="1:16" x14ac:dyDescent="0.3">
      <c r="A9" s="1">
        <v>1008</v>
      </c>
      <c r="B9" s="1" t="s">
        <v>20</v>
      </c>
      <c r="C9" s="1" t="s">
        <v>14</v>
      </c>
      <c r="D9" s="1" t="s">
        <v>21</v>
      </c>
      <c r="E9" s="1">
        <v>44193</v>
      </c>
      <c r="F9" s="1">
        <v>3612</v>
      </c>
      <c r="G9" s="24">
        <v>8</v>
      </c>
      <c r="H9" s="27" t="str">
        <f t="shared" si="0"/>
        <v>Gi</v>
      </c>
      <c r="I9" s="28" t="str">
        <f t="shared" si="1"/>
        <v>ri</v>
      </c>
      <c r="J9" s="27">
        <f t="shared" si="2"/>
        <v>4</v>
      </c>
      <c r="K9" s="1" t="str">
        <f t="shared" si="3"/>
        <v>GIRI</v>
      </c>
      <c r="L9" s="1" t="str">
        <f t="shared" si="4"/>
        <v>giri</v>
      </c>
      <c r="M9" s="1" t="str">
        <f t="shared" si="5"/>
        <v>Giri</v>
      </c>
      <c r="N9" s="1" t="str">
        <f t="shared" si="6"/>
        <v>Giri - HR</v>
      </c>
      <c r="O9" s="1" t="str">
        <f t="shared" si="7"/>
        <v>Giri  HR</v>
      </c>
      <c r="P9" s="1" t="str">
        <f t="shared" si="8"/>
        <v>Gir</v>
      </c>
    </row>
    <row r="10" spans="1:16" x14ac:dyDescent="0.3">
      <c r="A10" s="1">
        <v>1009</v>
      </c>
      <c r="B10" s="1" t="s">
        <v>7</v>
      </c>
      <c r="C10" s="1" t="s">
        <v>19</v>
      </c>
      <c r="D10" s="1" t="s">
        <v>15</v>
      </c>
      <c r="E10" s="1">
        <v>58552</v>
      </c>
      <c r="F10" s="1">
        <v>7262</v>
      </c>
      <c r="G10" s="24">
        <v>5</v>
      </c>
      <c r="H10" s="27" t="str">
        <f t="shared" si="0"/>
        <v>Jo</v>
      </c>
      <c r="I10" s="28" t="str">
        <f t="shared" si="1"/>
        <v>hn</v>
      </c>
      <c r="J10" s="27">
        <f t="shared" si="2"/>
        <v>4</v>
      </c>
      <c r="K10" s="1" t="str">
        <f t="shared" si="3"/>
        <v>JOHN</v>
      </c>
      <c r="L10" s="1" t="str">
        <f t="shared" si="4"/>
        <v>john</v>
      </c>
      <c r="M10" s="1" t="str">
        <f t="shared" si="5"/>
        <v>John</v>
      </c>
      <c r="N10" s="1" t="str">
        <f t="shared" si="6"/>
        <v>John - Sales</v>
      </c>
      <c r="O10" s="1" t="str">
        <f t="shared" si="7"/>
        <v>John  Sales</v>
      </c>
      <c r="P10" s="1" t="str">
        <f t="shared" si="8"/>
        <v>Joh</v>
      </c>
    </row>
    <row r="11" spans="1:16" x14ac:dyDescent="0.3">
      <c r="A11" s="1">
        <v>1010</v>
      </c>
      <c r="B11" s="1" t="s">
        <v>22</v>
      </c>
      <c r="C11" s="1" t="s">
        <v>19</v>
      </c>
      <c r="D11" s="1" t="s">
        <v>15</v>
      </c>
      <c r="E11" s="1">
        <v>67997</v>
      </c>
      <c r="F11" s="1">
        <v>1164</v>
      </c>
      <c r="G11" s="24">
        <v>4</v>
      </c>
      <c r="H11" s="27" t="str">
        <f t="shared" si="0"/>
        <v>La</v>
      </c>
      <c r="I11" s="28" t="str">
        <f t="shared" si="1"/>
        <v>ha</v>
      </c>
      <c r="J11" s="27">
        <f t="shared" si="2"/>
        <v>5</v>
      </c>
      <c r="K11" s="1" t="str">
        <f t="shared" si="3"/>
        <v>LATHA</v>
      </c>
      <c r="L11" s="1" t="str">
        <f t="shared" si="4"/>
        <v>latha</v>
      </c>
      <c r="M11" s="1" t="str">
        <f t="shared" si="5"/>
        <v>Latha</v>
      </c>
      <c r="N11" s="1" t="str">
        <f t="shared" si="6"/>
        <v>Latha - Sales</v>
      </c>
      <c r="O11" s="1" t="str">
        <f t="shared" si="7"/>
        <v>Latha  Sales</v>
      </c>
      <c r="P11" s="1" t="str">
        <f t="shared" si="8"/>
        <v>Lat</v>
      </c>
    </row>
    <row r="12" spans="1:16" x14ac:dyDescent="0.3">
      <c r="A12" s="1">
        <v>1011</v>
      </c>
      <c r="B12" s="1" t="s">
        <v>22</v>
      </c>
      <c r="C12" s="1" t="s">
        <v>8</v>
      </c>
      <c r="D12" s="1" t="s">
        <v>21</v>
      </c>
      <c r="E12" s="1">
        <v>26573</v>
      </c>
      <c r="F12" s="1">
        <v>5768</v>
      </c>
      <c r="G12" s="24">
        <v>4</v>
      </c>
      <c r="H12" s="27" t="str">
        <f t="shared" si="0"/>
        <v>La</v>
      </c>
      <c r="I12" s="28" t="str">
        <f t="shared" si="1"/>
        <v>ha</v>
      </c>
      <c r="J12" s="27">
        <f t="shared" si="2"/>
        <v>5</v>
      </c>
      <c r="K12" s="1" t="str">
        <f t="shared" si="3"/>
        <v>LATHA</v>
      </c>
      <c r="L12" s="1" t="str">
        <f t="shared" si="4"/>
        <v>latha</v>
      </c>
      <c r="M12" s="1" t="str">
        <f t="shared" si="5"/>
        <v>Latha</v>
      </c>
      <c r="N12" s="1" t="str">
        <f t="shared" si="6"/>
        <v>Latha - IT</v>
      </c>
      <c r="O12" s="1" t="str">
        <f t="shared" si="7"/>
        <v>Latha  IT</v>
      </c>
      <c r="P12" s="1" t="str">
        <f t="shared" si="8"/>
        <v>Lat</v>
      </c>
    </row>
    <row r="13" spans="1:16" x14ac:dyDescent="0.3">
      <c r="A13" s="1">
        <v>1012</v>
      </c>
      <c r="B13" s="1" t="s">
        <v>23</v>
      </c>
      <c r="C13" s="1" t="s">
        <v>8</v>
      </c>
      <c r="D13" s="1" t="s">
        <v>15</v>
      </c>
      <c r="E13" s="1">
        <v>70449</v>
      </c>
      <c r="F13" s="1">
        <v>8386</v>
      </c>
      <c r="G13" s="24">
        <v>8</v>
      </c>
      <c r="H13" s="27" t="str">
        <f t="shared" si="0"/>
        <v>Va</v>
      </c>
      <c r="I13" s="28" t="str">
        <f t="shared" si="1"/>
        <v>un</v>
      </c>
      <c r="J13" s="27">
        <f t="shared" si="2"/>
        <v>5</v>
      </c>
      <c r="K13" s="1" t="str">
        <f t="shared" si="3"/>
        <v>VARUN</v>
      </c>
      <c r="L13" s="1" t="str">
        <f t="shared" si="4"/>
        <v>varun</v>
      </c>
      <c r="M13" s="1" t="str">
        <f t="shared" si="5"/>
        <v>Varun</v>
      </c>
      <c r="N13" s="1" t="str">
        <f t="shared" si="6"/>
        <v>Varun - IT</v>
      </c>
      <c r="O13" s="1" t="str">
        <f t="shared" si="7"/>
        <v>Varun  IT</v>
      </c>
      <c r="P13" s="1" t="str">
        <f t="shared" si="8"/>
        <v>Var</v>
      </c>
    </row>
    <row r="14" spans="1:16" x14ac:dyDescent="0.3">
      <c r="A14" s="1">
        <v>1013</v>
      </c>
      <c r="B14" s="1" t="s">
        <v>24</v>
      </c>
      <c r="C14" s="1" t="s">
        <v>11</v>
      </c>
      <c r="D14" s="1" t="s">
        <v>15</v>
      </c>
      <c r="E14" s="1">
        <v>76305</v>
      </c>
      <c r="F14" s="1">
        <v>4910</v>
      </c>
      <c r="G14" s="24">
        <v>1</v>
      </c>
      <c r="H14" s="27" t="str">
        <f t="shared" si="0"/>
        <v>Ba</v>
      </c>
      <c r="I14" s="28" t="str">
        <f t="shared" si="1"/>
        <v>la</v>
      </c>
      <c r="J14" s="27">
        <f t="shared" si="2"/>
        <v>4</v>
      </c>
      <c r="K14" s="1" t="str">
        <f t="shared" si="3"/>
        <v>BALA</v>
      </c>
      <c r="L14" s="1" t="str">
        <f t="shared" si="4"/>
        <v>bala</v>
      </c>
      <c r="M14" s="1" t="str">
        <f t="shared" si="5"/>
        <v>Bala</v>
      </c>
      <c r="N14" s="1" t="str">
        <f t="shared" si="6"/>
        <v>Bala - Finance</v>
      </c>
      <c r="O14" s="1" t="str">
        <f t="shared" si="7"/>
        <v>Bala  Finance</v>
      </c>
      <c r="P14" s="1" t="str">
        <f t="shared" si="8"/>
        <v>Bal</v>
      </c>
    </row>
    <row r="15" spans="1:16" x14ac:dyDescent="0.3">
      <c r="A15" s="1">
        <v>1014</v>
      </c>
      <c r="B15" s="1" t="s">
        <v>25</v>
      </c>
      <c r="C15" s="1" t="s">
        <v>8</v>
      </c>
      <c r="D15" s="1" t="s">
        <v>12</v>
      </c>
      <c r="E15" s="1">
        <v>75837</v>
      </c>
      <c r="F15" s="1">
        <v>3707</v>
      </c>
      <c r="G15" s="24">
        <v>4</v>
      </c>
      <c r="H15" s="27" t="str">
        <f t="shared" si="0"/>
        <v>Sa</v>
      </c>
      <c r="I15" s="28" t="str">
        <f t="shared" si="1"/>
        <v>ra</v>
      </c>
      <c r="J15" s="27">
        <f t="shared" si="2"/>
        <v>4</v>
      </c>
      <c r="K15" s="1" t="str">
        <f t="shared" si="3"/>
        <v>SARA</v>
      </c>
      <c r="L15" s="1" t="str">
        <f t="shared" si="4"/>
        <v>sara</v>
      </c>
      <c r="M15" s="1" t="str">
        <f t="shared" si="5"/>
        <v>Sara</v>
      </c>
      <c r="N15" s="1" t="str">
        <f t="shared" si="6"/>
        <v>Sara - IT</v>
      </c>
      <c r="O15" s="1" t="str">
        <f t="shared" si="7"/>
        <v>Sara  IT</v>
      </c>
      <c r="P15" s="1" t="str">
        <f t="shared" si="8"/>
        <v>Sar</v>
      </c>
    </row>
    <row r="16" spans="1:16" x14ac:dyDescent="0.3">
      <c r="A16" s="1">
        <v>1015</v>
      </c>
      <c r="B16" s="1" t="s">
        <v>26</v>
      </c>
      <c r="C16" s="1" t="s">
        <v>8</v>
      </c>
      <c r="D16" s="1" t="s">
        <v>15</v>
      </c>
      <c r="E16" s="1">
        <v>37399</v>
      </c>
      <c r="F16" s="1">
        <v>7673</v>
      </c>
      <c r="G16" s="24">
        <v>8</v>
      </c>
      <c r="H16" s="27" t="str">
        <f t="shared" si="0"/>
        <v>Ch</v>
      </c>
      <c r="I16" s="28" t="str">
        <f t="shared" si="1"/>
        <v>an</v>
      </c>
      <c r="J16" s="27">
        <f t="shared" si="2"/>
        <v>6</v>
      </c>
      <c r="K16" s="1" t="str">
        <f t="shared" si="3"/>
        <v>CHARAN</v>
      </c>
      <c r="L16" s="1" t="str">
        <f t="shared" si="4"/>
        <v>charan</v>
      </c>
      <c r="M16" s="1" t="str">
        <f t="shared" si="5"/>
        <v>Charan</v>
      </c>
      <c r="N16" s="1" t="str">
        <f t="shared" si="6"/>
        <v>Charan - IT</v>
      </c>
      <c r="O16" s="1" t="str">
        <f t="shared" si="7"/>
        <v>Charan  IT</v>
      </c>
      <c r="P16" s="1" t="str">
        <f t="shared" si="8"/>
        <v>Cha</v>
      </c>
    </row>
    <row r="17" spans="1:16" x14ac:dyDescent="0.3">
      <c r="A17" s="1">
        <v>1016</v>
      </c>
      <c r="B17" s="1" t="s">
        <v>27</v>
      </c>
      <c r="C17" s="1" t="s">
        <v>19</v>
      </c>
      <c r="D17" s="1" t="s">
        <v>15</v>
      </c>
      <c r="E17" s="1">
        <v>36079</v>
      </c>
      <c r="F17" s="1">
        <v>1227</v>
      </c>
      <c r="G17" s="24">
        <v>9</v>
      </c>
      <c r="H17" s="27" t="str">
        <f t="shared" si="0"/>
        <v>He</v>
      </c>
      <c r="I17" s="28" t="str">
        <f t="shared" si="1"/>
        <v>ma</v>
      </c>
      <c r="J17" s="27">
        <f t="shared" si="2"/>
        <v>4</v>
      </c>
      <c r="K17" s="1" t="str">
        <f t="shared" si="3"/>
        <v>HEMA</v>
      </c>
      <c r="L17" s="1" t="str">
        <f t="shared" si="4"/>
        <v>hema</v>
      </c>
      <c r="M17" s="1" t="str">
        <f t="shared" si="5"/>
        <v>Hema</v>
      </c>
      <c r="N17" s="1" t="str">
        <f t="shared" si="6"/>
        <v>Hema - Sales</v>
      </c>
      <c r="O17" s="1" t="str">
        <f t="shared" si="7"/>
        <v>Hema  Sales</v>
      </c>
      <c r="P17" s="1" t="str">
        <f t="shared" si="8"/>
        <v>Hem</v>
      </c>
    </row>
    <row r="18" spans="1:16" x14ac:dyDescent="0.3">
      <c r="A18" s="1">
        <v>1017</v>
      </c>
      <c r="B18" s="1" t="s">
        <v>22</v>
      </c>
      <c r="C18" s="1" t="s">
        <v>11</v>
      </c>
      <c r="D18" s="1" t="s">
        <v>21</v>
      </c>
      <c r="E18" s="1">
        <v>56682</v>
      </c>
      <c r="F18" s="1">
        <v>1665</v>
      </c>
      <c r="G18" s="24">
        <v>1</v>
      </c>
      <c r="H18" s="27" t="str">
        <f t="shared" si="0"/>
        <v>La</v>
      </c>
      <c r="I18" s="28" t="str">
        <f t="shared" si="1"/>
        <v>ha</v>
      </c>
      <c r="J18" s="27">
        <f t="shared" si="2"/>
        <v>5</v>
      </c>
      <c r="K18" s="1" t="str">
        <f t="shared" si="3"/>
        <v>LATHA</v>
      </c>
      <c r="L18" s="1" t="str">
        <f t="shared" si="4"/>
        <v>latha</v>
      </c>
      <c r="M18" s="1" t="str">
        <f t="shared" si="5"/>
        <v>Latha</v>
      </c>
      <c r="N18" s="1" t="str">
        <f t="shared" si="6"/>
        <v>Latha - Finance</v>
      </c>
      <c r="O18" s="1" t="str">
        <f t="shared" si="7"/>
        <v>Latha  Finance</v>
      </c>
      <c r="P18" s="1" t="str">
        <f t="shared" si="8"/>
        <v>Lat</v>
      </c>
    </row>
    <row r="19" spans="1:16" x14ac:dyDescent="0.3">
      <c r="A19" s="1">
        <v>1018</v>
      </c>
      <c r="B19" s="1" t="s">
        <v>23</v>
      </c>
      <c r="C19" s="1" t="s">
        <v>11</v>
      </c>
      <c r="D19" s="1" t="s">
        <v>12</v>
      </c>
      <c r="E19" s="1">
        <v>74829</v>
      </c>
      <c r="F19" s="1">
        <v>9249</v>
      </c>
      <c r="G19" s="24">
        <v>9</v>
      </c>
      <c r="H19" s="27" t="str">
        <f t="shared" si="0"/>
        <v>Va</v>
      </c>
      <c r="I19" s="28" t="str">
        <f t="shared" si="1"/>
        <v>un</v>
      </c>
      <c r="J19" s="27">
        <f t="shared" si="2"/>
        <v>5</v>
      </c>
      <c r="K19" s="1" t="str">
        <f t="shared" si="3"/>
        <v>VARUN</v>
      </c>
      <c r="L19" s="1" t="str">
        <f t="shared" si="4"/>
        <v>varun</v>
      </c>
      <c r="M19" s="1" t="str">
        <f t="shared" si="5"/>
        <v>Varun</v>
      </c>
      <c r="N19" s="1" t="str">
        <f t="shared" si="6"/>
        <v>Varun - Finance</v>
      </c>
      <c r="O19" s="1" t="str">
        <f t="shared" si="7"/>
        <v>Varun  Finance</v>
      </c>
      <c r="P19" s="1" t="str">
        <f t="shared" si="8"/>
        <v>Var</v>
      </c>
    </row>
    <row r="20" spans="1:16" x14ac:dyDescent="0.3">
      <c r="A20" s="1">
        <v>1019</v>
      </c>
      <c r="B20" s="1" t="s">
        <v>10</v>
      </c>
      <c r="C20" s="1" t="s">
        <v>11</v>
      </c>
      <c r="D20" s="1" t="s">
        <v>9</v>
      </c>
      <c r="E20" s="1">
        <v>37095</v>
      </c>
      <c r="F20" s="1">
        <v>4694</v>
      </c>
      <c r="G20" s="24">
        <v>9</v>
      </c>
      <c r="H20" s="27" t="str">
        <f t="shared" si="0"/>
        <v>Me</v>
      </c>
      <c r="I20" s="28" t="str">
        <f t="shared" si="1"/>
        <v>na</v>
      </c>
      <c r="J20" s="27">
        <f t="shared" si="2"/>
        <v>5</v>
      </c>
      <c r="K20" s="1" t="str">
        <f t="shared" si="3"/>
        <v>MEENA</v>
      </c>
      <c r="L20" s="1" t="str">
        <f t="shared" si="4"/>
        <v>meena</v>
      </c>
      <c r="M20" s="1" t="str">
        <f t="shared" si="5"/>
        <v>Meena</v>
      </c>
      <c r="N20" s="1" t="str">
        <f t="shared" si="6"/>
        <v>Meena - Finance</v>
      </c>
      <c r="O20" s="1" t="str">
        <f t="shared" si="7"/>
        <v>Meena  Finance</v>
      </c>
      <c r="P20" s="1" t="str">
        <f t="shared" si="8"/>
        <v>Mee</v>
      </c>
    </row>
    <row r="21" spans="1:16" x14ac:dyDescent="0.3">
      <c r="A21" s="1">
        <v>1020</v>
      </c>
      <c r="B21" s="1" t="s">
        <v>13</v>
      </c>
      <c r="C21" s="1" t="s">
        <v>14</v>
      </c>
      <c r="D21" s="1" t="s">
        <v>15</v>
      </c>
      <c r="E21" s="1">
        <v>57259</v>
      </c>
      <c r="F21" s="1">
        <v>4414</v>
      </c>
      <c r="G21" s="24">
        <v>1</v>
      </c>
      <c r="H21" s="27" t="str">
        <f t="shared" si="0"/>
        <v>Te</v>
      </c>
      <c r="I21" s="28" t="str">
        <f t="shared" si="1"/>
        <v>ja</v>
      </c>
      <c r="J21" s="27">
        <f t="shared" si="2"/>
        <v>4</v>
      </c>
      <c r="K21" s="1" t="str">
        <f t="shared" si="3"/>
        <v>TEJA</v>
      </c>
      <c r="L21" s="1" t="str">
        <f t="shared" si="4"/>
        <v>teja</v>
      </c>
      <c r="M21" s="1" t="str">
        <f t="shared" si="5"/>
        <v>Teja</v>
      </c>
      <c r="N21" s="1" t="str">
        <f t="shared" si="6"/>
        <v>Teja - HR</v>
      </c>
      <c r="O21" s="1" t="str">
        <f t="shared" si="7"/>
        <v>Teja  HR</v>
      </c>
      <c r="P21" s="1" t="str">
        <f t="shared" si="8"/>
        <v>Tej</v>
      </c>
    </row>
    <row r="22" spans="1:16" x14ac:dyDescent="0.3">
      <c r="A22" s="1">
        <v>1021</v>
      </c>
      <c r="B22" s="1" t="s">
        <v>23</v>
      </c>
      <c r="C22" s="1" t="s">
        <v>19</v>
      </c>
      <c r="D22" s="1" t="s">
        <v>15</v>
      </c>
      <c r="E22" s="1">
        <v>72209</v>
      </c>
      <c r="F22" s="1">
        <v>4448</v>
      </c>
      <c r="G22" s="24">
        <v>9</v>
      </c>
      <c r="H22" s="27" t="str">
        <f t="shared" si="0"/>
        <v>Va</v>
      </c>
      <c r="I22" s="28" t="str">
        <f t="shared" si="1"/>
        <v>un</v>
      </c>
      <c r="J22" s="27">
        <f t="shared" si="2"/>
        <v>5</v>
      </c>
      <c r="K22" s="1" t="str">
        <f t="shared" si="3"/>
        <v>VARUN</v>
      </c>
      <c r="L22" s="1" t="str">
        <f t="shared" si="4"/>
        <v>varun</v>
      </c>
      <c r="M22" s="1" t="str">
        <f t="shared" si="5"/>
        <v>Varun</v>
      </c>
      <c r="N22" s="1" t="str">
        <f t="shared" si="6"/>
        <v>Varun - Sales</v>
      </c>
      <c r="O22" s="1" t="str">
        <f t="shared" si="7"/>
        <v>Varun  Sales</v>
      </c>
      <c r="P22" s="1" t="str">
        <f t="shared" si="8"/>
        <v>Var</v>
      </c>
    </row>
    <row r="23" spans="1:16" x14ac:dyDescent="0.3">
      <c r="A23" s="1">
        <v>1022</v>
      </c>
      <c r="B23" s="1" t="s">
        <v>16</v>
      </c>
      <c r="C23" s="1" t="s">
        <v>19</v>
      </c>
      <c r="D23" s="1" t="s">
        <v>15</v>
      </c>
      <c r="E23" s="1">
        <v>38806</v>
      </c>
      <c r="F23" s="1">
        <v>9151</v>
      </c>
      <c r="G23" s="24">
        <v>9</v>
      </c>
      <c r="H23" s="27" t="str">
        <f t="shared" si="0"/>
        <v>Fa</v>
      </c>
      <c r="I23" s="28" t="str">
        <f t="shared" si="1"/>
        <v>an</v>
      </c>
      <c r="J23" s="27">
        <f t="shared" si="2"/>
        <v>6</v>
      </c>
      <c r="K23" s="1" t="str">
        <f t="shared" si="3"/>
        <v>FARHAN</v>
      </c>
      <c r="L23" s="1" t="str">
        <f t="shared" si="4"/>
        <v>farhan</v>
      </c>
      <c r="M23" s="1" t="str">
        <f t="shared" si="5"/>
        <v>Farhan</v>
      </c>
      <c r="N23" s="1" t="str">
        <f t="shared" si="6"/>
        <v>Farhan - Sales</v>
      </c>
      <c r="O23" s="1" t="str">
        <f t="shared" si="7"/>
        <v>Farhan  Sales</v>
      </c>
      <c r="P23" s="1" t="str">
        <f t="shared" si="8"/>
        <v>Far</v>
      </c>
    </row>
    <row r="24" spans="1:16" x14ac:dyDescent="0.3">
      <c r="A24" s="1">
        <v>1023</v>
      </c>
      <c r="B24" s="1" t="s">
        <v>20</v>
      </c>
      <c r="C24" s="1" t="s">
        <v>8</v>
      </c>
      <c r="D24" s="1" t="s">
        <v>15</v>
      </c>
      <c r="E24" s="1">
        <v>54451</v>
      </c>
      <c r="F24" s="1">
        <v>8106</v>
      </c>
      <c r="G24" s="24">
        <v>4</v>
      </c>
      <c r="H24" s="27" t="str">
        <f t="shared" si="0"/>
        <v>Gi</v>
      </c>
      <c r="I24" s="28" t="str">
        <f t="shared" si="1"/>
        <v>ri</v>
      </c>
      <c r="J24" s="27">
        <f t="shared" si="2"/>
        <v>4</v>
      </c>
      <c r="K24" s="1" t="str">
        <f t="shared" si="3"/>
        <v>GIRI</v>
      </c>
      <c r="L24" s="1" t="str">
        <f t="shared" si="4"/>
        <v>giri</v>
      </c>
      <c r="M24" s="1" t="str">
        <f t="shared" si="5"/>
        <v>Giri</v>
      </c>
      <c r="N24" s="1" t="str">
        <f t="shared" si="6"/>
        <v>Giri - IT</v>
      </c>
      <c r="O24" s="1" t="str">
        <f t="shared" si="7"/>
        <v>Giri  IT</v>
      </c>
      <c r="P24" s="1" t="str">
        <f t="shared" si="8"/>
        <v>Gir</v>
      </c>
    </row>
    <row r="25" spans="1:16" x14ac:dyDescent="0.3">
      <c r="A25" s="1">
        <v>1024</v>
      </c>
      <c r="B25" s="1" t="s">
        <v>7</v>
      </c>
      <c r="C25" s="1" t="s">
        <v>8</v>
      </c>
      <c r="D25" s="1" t="s">
        <v>9</v>
      </c>
      <c r="E25" s="1">
        <v>20303</v>
      </c>
      <c r="F25" s="1">
        <v>6264</v>
      </c>
      <c r="G25" s="24">
        <v>4</v>
      </c>
      <c r="H25" s="27" t="str">
        <f t="shared" si="0"/>
        <v>Jo</v>
      </c>
      <c r="I25" s="28" t="str">
        <f t="shared" si="1"/>
        <v>hn</v>
      </c>
      <c r="J25" s="27">
        <f t="shared" si="2"/>
        <v>4</v>
      </c>
      <c r="K25" s="1" t="str">
        <f t="shared" si="3"/>
        <v>JOHN</v>
      </c>
      <c r="L25" s="1" t="str">
        <f t="shared" si="4"/>
        <v>john</v>
      </c>
      <c r="M25" s="1" t="str">
        <f t="shared" si="5"/>
        <v>John</v>
      </c>
      <c r="N25" s="1" t="str">
        <f t="shared" si="6"/>
        <v>John - IT</v>
      </c>
      <c r="O25" s="1" t="str">
        <f t="shared" si="7"/>
        <v>John  IT</v>
      </c>
      <c r="P25" s="1" t="str">
        <f t="shared" si="8"/>
        <v>Joh</v>
      </c>
    </row>
    <row r="26" spans="1:16" x14ac:dyDescent="0.3">
      <c r="A26" s="1">
        <v>1025</v>
      </c>
      <c r="B26" s="1" t="s">
        <v>27</v>
      </c>
      <c r="C26" s="1" t="s">
        <v>19</v>
      </c>
      <c r="D26" s="1" t="s">
        <v>9</v>
      </c>
      <c r="E26" s="1">
        <v>79600</v>
      </c>
      <c r="F26" s="1">
        <v>4813</v>
      </c>
      <c r="G26" s="24">
        <v>7</v>
      </c>
      <c r="H26" s="27" t="str">
        <f t="shared" si="0"/>
        <v>He</v>
      </c>
      <c r="I26" s="28" t="str">
        <f t="shared" si="1"/>
        <v>ma</v>
      </c>
      <c r="J26" s="27">
        <f t="shared" si="2"/>
        <v>4</v>
      </c>
      <c r="K26" s="1" t="str">
        <f t="shared" si="3"/>
        <v>HEMA</v>
      </c>
      <c r="L26" s="1" t="str">
        <f t="shared" si="4"/>
        <v>hema</v>
      </c>
      <c r="M26" s="1" t="str">
        <f t="shared" si="5"/>
        <v>Hema</v>
      </c>
      <c r="N26" s="1" t="str">
        <f t="shared" si="6"/>
        <v>Hema - Sales</v>
      </c>
      <c r="O26" s="1" t="str">
        <f t="shared" si="7"/>
        <v>Hema  Sales</v>
      </c>
      <c r="P26" s="1" t="str">
        <f t="shared" si="8"/>
        <v>Hem</v>
      </c>
    </row>
    <row r="27" spans="1:16" x14ac:dyDescent="0.3">
      <c r="A27" s="1">
        <v>1026</v>
      </c>
      <c r="B27" s="1" t="s">
        <v>20</v>
      </c>
      <c r="C27" s="1" t="s">
        <v>19</v>
      </c>
      <c r="D27" s="1" t="s">
        <v>12</v>
      </c>
      <c r="E27" s="1">
        <v>75805</v>
      </c>
      <c r="F27" s="1">
        <v>6871</v>
      </c>
      <c r="G27" s="24">
        <v>8</v>
      </c>
      <c r="H27" s="27" t="str">
        <f t="shared" si="0"/>
        <v>Gi</v>
      </c>
      <c r="I27" s="28" t="str">
        <f t="shared" si="1"/>
        <v>ri</v>
      </c>
      <c r="J27" s="27">
        <f t="shared" si="2"/>
        <v>4</v>
      </c>
      <c r="K27" s="1" t="str">
        <f t="shared" si="3"/>
        <v>GIRI</v>
      </c>
      <c r="L27" s="1" t="str">
        <f t="shared" si="4"/>
        <v>giri</v>
      </c>
      <c r="M27" s="1" t="str">
        <f t="shared" si="5"/>
        <v>Giri</v>
      </c>
      <c r="N27" s="1" t="str">
        <f t="shared" si="6"/>
        <v>Giri - Sales</v>
      </c>
      <c r="O27" s="1" t="str">
        <f t="shared" si="7"/>
        <v>Giri  Sales</v>
      </c>
      <c r="P27" s="1" t="str">
        <f t="shared" si="8"/>
        <v>Gir</v>
      </c>
    </row>
    <row r="28" spans="1:16" x14ac:dyDescent="0.3">
      <c r="A28" s="1">
        <v>1027</v>
      </c>
      <c r="B28" s="1" t="s">
        <v>18</v>
      </c>
      <c r="C28" s="1" t="s">
        <v>14</v>
      </c>
      <c r="D28" s="1" t="s">
        <v>9</v>
      </c>
      <c r="E28" s="1">
        <v>22801</v>
      </c>
      <c r="F28" s="1">
        <v>1462</v>
      </c>
      <c r="G28" s="24">
        <v>10</v>
      </c>
      <c r="H28" s="27" t="str">
        <f t="shared" si="0"/>
        <v>Ni</v>
      </c>
      <c r="I28" s="28" t="str">
        <f t="shared" si="1"/>
        <v>il</v>
      </c>
      <c r="J28" s="27">
        <f t="shared" si="2"/>
        <v>6</v>
      </c>
      <c r="K28" s="1" t="str">
        <f t="shared" si="3"/>
        <v>NIKHIL</v>
      </c>
      <c r="L28" s="1" t="str">
        <f t="shared" si="4"/>
        <v>nikhil</v>
      </c>
      <c r="M28" s="1" t="str">
        <f t="shared" si="5"/>
        <v>Nikhil</v>
      </c>
      <c r="N28" s="1" t="str">
        <f t="shared" si="6"/>
        <v>Nikhil - HR</v>
      </c>
      <c r="O28" s="1" t="str">
        <f t="shared" si="7"/>
        <v>Nikhil  HR</v>
      </c>
      <c r="P28" s="1" t="str">
        <f t="shared" si="8"/>
        <v>Nik</v>
      </c>
    </row>
    <row r="29" spans="1:16" x14ac:dyDescent="0.3">
      <c r="A29" s="1">
        <v>1028</v>
      </c>
      <c r="B29" s="1" t="s">
        <v>28</v>
      </c>
      <c r="C29" s="1" t="s">
        <v>19</v>
      </c>
      <c r="D29" s="1" t="s">
        <v>21</v>
      </c>
      <c r="E29" s="1">
        <v>54435</v>
      </c>
      <c r="F29" s="1">
        <v>5063</v>
      </c>
      <c r="G29" s="24">
        <v>6</v>
      </c>
      <c r="H29" s="27" t="str">
        <f t="shared" si="0"/>
        <v>Ra</v>
      </c>
      <c r="I29" s="28" t="str">
        <f t="shared" si="1"/>
        <v>vi</v>
      </c>
      <c r="J29" s="27">
        <f t="shared" si="2"/>
        <v>4</v>
      </c>
      <c r="K29" s="1" t="str">
        <f t="shared" si="3"/>
        <v>RAVI</v>
      </c>
      <c r="L29" s="1" t="str">
        <f t="shared" si="4"/>
        <v>ravi</v>
      </c>
      <c r="M29" s="1" t="str">
        <f t="shared" si="5"/>
        <v>Ravi</v>
      </c>
      <c r="N29" s="1" t="str">
        <f t="shared" si="6"/>
        <v>Ravi - Sales</v>
      </c>
      <c r="O29" s="1" t="str">
        <f t="shared" si="7"/>
        <v>Ravi  Sales</v>
      </c>
      <c r="P29" s="1" t="str">
        <f t="shared" si="8"/>
        <v>Rav</v>
      </c>
    </row>
    <row r="30" spans="1:16" x14ac:dyDescent="0.3">
      <c r="A30" s="1">
        <v>1029</v>
      </c>
      <c r="B30" s="1" t="s">
        <v>29</v>
      </c>
      <c r="C30" s="1" t="s">
        <v>11</v>
      </c>
      <c r="D30" s="1" t="s">
        <v>21</v>
      </c>
      <c r="E30" s="1">
        <v>77655</v>
      </c>
      <c r="F30" s="1">
        <v>3552</v>
      </c>
      <c r="G30" s="24">
        <v>7</v>
      </c>
      <c r="H30" s="27" t="str">
        <f t="shared" si="0"/>
        <v>Es</v>
      </c>
      <c r="I30" s="28" t="str">
        <f t="shared" si="1"/>
        <v>ha</v>
      </c>
      <c r="J30" s="27">
        <f t="shared" si="2"/>
        <v>4</v>
      </c>
      <c r="K30" s="1" t="str">
        <f t="shared" si="3"/>
        <v>ESHA</v>
      </c>
      <c r="L30" s="1" t="str">
        <f t="shared" si="4"/>
        <v>esha</v>
      </c>
      <c r="M30" s="1" t="str">
        <f t="shared" si="5"/>
        <v>Esha</v>
      </c>
      <c r="N30" s="1" t="str">
        <f t="shared" si="6"/>
        <v>Esha - Finance</v>
      </c>
      <c r="O30" s="1" t="str">
        <f t="shared" si="7"/>
        <v>Esha  Finance</v>
      </c>
      <c r="P30" s="1" t="str">
        <f t="shared" si="8"/>
        <v>Esh</v>
      </c>
    </row>
    <row r="31" spans="1:16" x14ac:dyDescent="0.3">
      <c r="A31" s="1">
        <v>1030</v>
      </c>
      <c r="B31" s="1" t="s">
        <v>26</v>
      </c>
      <c r="C31" s="1" t="s">
        <v>19</v>
      </c>
      <c r="D31" s="1" t="s">
        <v>21</v>
      </c>
      <c r="E31" s="1">
        <v>61880</v>
      </c>
      <c r="F31" s="1">
        <v>1131</v>
      </c>
      <c r="G31" s="24">
        <v>8</v>
      </c>
      <c r="H31" s="27" t="str">
        <f t="shared" si="0"/>
        <v>Ch</v>
      </c>
      <c r="I31" s="28" t="str">
        <f t="shared" si="1"/>
        <v>an</v>
      </c>
      <c r="J31" s="27">
        <f t="shared" si="2"/>
        <v>6</v>
      </c>
      <c r="K31" s="1" t="str">
        <f t="shared" si="3"/>
        <v>CHARAN</v>
      </c>
      <c r="L31" s="1" t="str">
        <f t="shared" si="4"/>
        <v>charan</v>
      </c>
      <c r="M31" s="1" t="str">
        <f t="shared" si="5"/>
        <v>Charan</v>
      </c>
      <c r="N31" s="1" t="str">
        <f t="shared" si="6"/>
        <v>Charan - Sales</v>
      </c>
      <c r="O31" s="1" t="str">
        <f t="shared" si="7"/>
        <v>Charan  Sales</v>
      </c>
      <c r="P31" s="1" t="str">
        <f t="shared" si="8"/>
        <v>Cha</v>
      </c>
    </row>
    <row r="32" spans="1:16" x14ac:dyDescent="0.3">
      <c r="A32" s="1">
        <v>1031</v>
      </c>
      <c r="B32" s="1" t="s">
        <v>28</v>
      </c>
      <c r="C32" s="1" t="s">
        <v>19</v>
      </c>
      <c r="D32" s="1" t="s">
        <v>21</v>
      </c>
      <c r="E32" s="1">
        <v>61681</v>
      </c>
      <c r="F32" s="1">
        <v>2759</v>
      </c>
      <c r="G32" s="24">
        <v>4</v>
      </c>
      <c r="H32" s="27" t="str">
        <f t="shared" si="0"/>
        <v>Ra</v>
      </c>
      <c r="I32" s="28" t="str">
        <f t="shared" si="1"/>
        <v>vi</v>
      </c>
      <c r="J32" s="27">
        <f t="shared" si="2"/>
        <v>4</v>
      </c>
      <c r="K32" s="1" t="str">
        <f t="shared" si="3"/>
        <v>RAVI</v>
      </c>
      <c r="L32" s="1" t="str">
        <f t="shared" si="4"/>
        <v>ravi</v>
      </c>
      <c r="M32" s="1" t="str">
        <f t="shared" si="5"/>
        <v>Ravi</v>
      </c>
      <c r="N32" s="1" t="str">
        <f t="shared" si="6"/>
        <v>Ravi - Sales</v>
      </c>
      <c r="O32" s="1" t="str">
        <f t="shared" si="7"/>
        <v>Ravi  Sales</v>
      </c>
      <c r="P32" s="1" t="str">
        <f t="shared" si="8"/>
        <v>Rav</v>
      </c>
    </row>
    <row r="33" spans="1:16" x14ac:dyDescent="0.3">
      <c r="A33" s="1">
        <v>1032</v>
      </c>
      <c r="B33" s="1" t="s">
        <v>27</v>
      </c>
      <c r="C33" s="1" t="s">
        <v>19</v>
      </c>
      <c r="D33" s="1" t="s">
        <v>9</v>
      </c>
      <c r="E33" s="1">
        <v>65308</v>
      </c>
      <c r="F33" s="1">
        <v>4849</v>
      </c>
      <c r="G33" s="24">
        <v>10</v>
      </c>
      <c r="H33" s="27" t="str">
        <f t="shared" si="0"/>
        <v>He</v>
      </c>
      <c r="I33" s="28" t="str">
        <f t="shared" si="1"/>
        <v>ma</v>
      </c>
      <c r="J33" s="27">
        <f t="shared" si="2"/>
        <v>4</v>
      </c>
      <c r="K33" s="1" t="str">
        <f t="shared" si="3"/>
        <v>HEMA</v>
      </c>
      <c r="L33" s="1" t="str">
        <f t="shared" si="4"/>
        <v>hema</v>
      </c>
      <c r="M33" s="1" t="str">
        <f t="shared" si="5"/>
        <v>Hema</v>
      </c>
      <c r="N33" s="1" t="str">
        <f t="shared" si="6"/>
        <v>Hema - Sales</v>
      </c>
      <c r="O33" s="1" t="str">
        <f t="shared" si="7"/>
        <v>Hema  Sales</v>
      </c>
      <c r="P33" s="1" t="str">
        <f t="shared" si="8"/>
        <v>Hem</v>
      </c>
    </row>
    <row r="34" spans="1:16" x14ac:dyDescent="0.3">
      <c r="A34" s="1">
        <v>1033</v>
      </c>
      <c r="B34" s="1" t="s">
        <v>23</v>
      </c>
      <c r="C34" s="1" t="s">
        <v>19</v>
      </c>
      <c r="D34" s="1" t="s">
        <v>21</v>
      </c>
      <c r="E34" s="1">
        <v>73630</v>
      </c>
      <c r="F34" s="1">
        <v>2677</v>
      </c>
      <c r="G34" s="24">
        <v>7</v>
      </c>
      <c r="H34" s="27" t="str">
        <f t="shared" si="0"/>
        <v>Va</v>
      </c>
      <c r="I34" s="28" t="str">
        <f t="shared" si="1"/>
        <v>un</v>
      </c>
      <c r="J34" s="27">
        <f t="shared" si="2"/>
        <v>5</v>
      </c>
      <c r="K34" s="1" t="str">
        <f t="shared" si="3"/>
        <v>VARUN</v>
      </c>
      <c r="L34" s="1" t="str">
        <f t="shared" si="4"/>
        <v>varun</v>
      </c>
      <c r="M34" s="1" t="str">
        <f t="shared" si="5"/>
        <v>Varun</v>
      </c>
      <c r="N34" s="1" t="str">
        <f t="shared" si="6"/>
        <v>Varun - Sales</v>
      </c>
      <c r="O34" s="1" t="str">
        <f t="shared" si="7"/>
        <v>Varun  Sales</v>
      </c>
      <c r="P34" s="1" t="str">
        <f t="shared" si="8"/>
        <v>Var</v>
      </c>
    </row>
    <row r="35" spans="1:16" x14ac:dyDescent="0.3">
      <c r="A35" s="1">
        <v>1034</v>
      </c>
      <c r="B35" s="1" t="s">
        <v>27</v>
      </c>
      <c r="C35" s="1" t="s">
        <v>14</v>
      </c>
      <c r="D35" s="1" t="s">
        <v>15</v>
      </c>
      <c r="E35" s="1">
        <v>72125</v>
      </c>
      <c r="F35" s="1">
        <v>5374</v>
      </c>
      <c r="G35" s="24">
        <v>10</v>
      </c>
      <c r="H35" s="27" t="str">
        <f t="shared" si="0"/>
        <v>He</v>
      </c>
      <c r="I35" s="28" t="str">
        <f t="shared" si="1"/>
        <v>ma</v>
      </c>
      <c r="J35" s="27">
        <f t="shared" si="2"/>
        <v>4</v>
      </c>
      <c r="K35" s="1" t="str">
        <f t="shared" si="3"/>
        <v>HEMA</v>
      </c>
      <c r="L35" s="1" t="str">
        <f t="shared" si="4"/>
        <v>hema</v>
      </c>
      <c r="M35" s="1" t="str">
        <f t="shared" si="5"/>
        <v>Hema</v>
      </c>
      <c r="N35" s="1" t="str">
        <f t="shared" si="6"/>
        <v>Hema - HR</v>
      </c>
      <c r="O35" s="1" t="str">
        <f t="shared" si="7"/>
        <v>Hema  HR</v>
      </c>
      <c r="P35" s="1" t="str">
        <f t="shared" si="8"/>
        <v>Hem</v>
      </c>
    </row>
    <row r="36" spans="1:16" x14ac:dyDescent="0.3">
      <c r="A36" s="1">
        <v>1035</v>
      </c>
      <c r="B36" s="1" t="s">
        <v>16</v>
      </c>
      <c r="C36" s="1" t="s">
        <v>19</v>
      </c>
      <c r="D36" s="1" t="s">
        <v>9</v>
      </c>
      <c r="E36" s="1">
        <v>60544</v>
      </c>
      <c r="F36" s="1">
        <v>7787</v>
      </c>
      <c r="G36" s="24">
        <v>8</v>
      </c>
      <c r="H36" s="27" t="str">
        <f t="shared" si="0"/>
        <v>Fa</v>
      </c>
      <c r="I36" s="28" t="str">
        <f t="shared" si="1"/>
        <v>an</v>
      </c>
      <c r="J36" s="27">
        <f t="shared" si="2"/>
        <v>6</v>
      </c>
      <c r="K36" s="1" t="str">
        <f t="shared" si="3"/>
        <v>FARHAN</v>
      </c>
      <c r="L36" s="1" t="str">
        <f t="shared" si="4"/>
        <v>farhan</v>
      </c>
      <c r="M36" s="1" t="str">
        <f t="shared" si="5"/>
        <v>Farhan</v>
      </c>
      <c r="N36" s="1" t="str">
        <f t="shared" si="6"/>
        <v>Farhan - Sales</v>
      </c>
      <c r="O36" s="1" t="str">
        <f t="shared" si="7"/>
        <v>Farhan  Sales</v>
      </c>
      <c r="P36" s="1" t="str">
        <f t="shared" si="8"/>
        <v>Far</v>
      </c>
    </row>
    <row r="37" spans="1:16" x14ac:dyDescent="0.3">
      <c r="A37" s="1">
        <v>1036</v>
      </c>
      <c r="B37" s="1" t="s">
        <v>23</v>
      </c>
      <c r="C37" s="1" t="s">
        <v>19</v>
      </c>
      <c r="D37" s="1" t="s">
        <v>15</v>
      </c>
      <c r="E37" s="1">
        <v>59688</v>
      </c>
      <c r="F37" s="1">
        <v>3028</v>
      </c>
      <c r="G37" s="24">
        <v>10</v>
      </c>
      <c r="H37" s="27" t="str">
        <f t="shared" si="0"/>
        <v>Va</v>
      </c>
      <c r="I37" s="28" t="str">
        <f t="shared" si="1"/>
        <v>un</v>
      </c>
      <c r="J37" s="27">
        <f t="shared" si="2"/>
        <v>5</v>
      </c>
      <c r="K37" s="1" t="str">
        <f t="shared" si="3"/>
        <v>VARUN</v>
      </c>
      <c r="L37" s="1" t="str">
        <f t="shared" si="4"/>
        <v>varun</v>
      </c>
      <c r="M37" s="1" t="str">
        <f t="shared" si="5"/>
        <v>Varun</v>
      </c>
      <c r="N37" s="1" t="str">
        <f t="shared" si="6"/>
        <v>Varun - Sales</v>
      </c>
      <c r="O37" s="1" t="str">
        <f t="shared" si="7"/>
        <v>Varun  Sales</v>
      </c>
      <c r="P37" s="1" t="str">
        <f t="shared" si="8"/>
        <v>Var</v>
      </c>
    </row>
    <row r="38" spans="1:16" x14ac:dyDescent="0.3">
      <c r="A38" s="1">
        <v>1037</v>
      </c>
      <c r="B38" s="1" t="s">
        <v>20</v>
      </c>
      <c r="C38" s="1" t="s">
        <v>8</v>
      </c>
      <c r="D38" s="1" t="s">
        <v>9</v>
      </c>
      <c r="E38" s="1">
        <v>66548</v>
      </c>
      <c r="F38" s="1">
        <v>9254</v>
      </c>
      <c r="G38" s="24">
        <v>6</v>
      </c>
      <c r="H38" s="27" t="str">
        <f t="shared" si="0"/>
        <v>Gi</v>
      </c>
      <c r="I38" s="28" t="str">
        <f t="shared" si="1"/>
        <v>ri</v>
      </c>
      <c r="J38" s="27">
        <f t="shared" si="2"/>
        <v>4</v>
      </c>
      <c r="K38" s="1" t="str">
        <f t="shared" si="3"/>
        <v>GIRI</v>
      </c>
      <c r="L38" s="1" t="str">
        <f t="shared" si="4"/>
        <v>giri</v>
      </c>
      <c r="M38" s="1" t="str">
        <f t="shared" si="5"/>
        <v>Giri</v>
      </c>
      <c r="N38" s="1" t="str">
        <f t="shared" si="6"/>
        <v>Giri - IT</v>
      </c>
      <c r="O38" s="1" t="str">
        <f t="shared" si="7"/>
        <v>Giri  IT</v>
      </c>
      <c r="P38" s="1" t="str">
        <f t="shared" si="8"/>
        <v>Gir</v>
      </c>
    </row>
    <row r="39" spans="1:16" x14ac:dyDescent="0.3">
      <c r="A39" s="1">
        <v>1038</v>
      </c>
      <c r="B39" s="1" t="s">
        <v>25</v>
      </c>
      <c r="C39" s="1" t="s">
        <v>11</v>
      </c>
      <c r="D39" s="1" t="s">
        <v>21</v>
      </c>
      <c r="E39" s="1">
        <v>63661</v>
      </c>
      <c r="F39" s="1">
        <v>4084</v>
      </c>
      <c r="G39" s="24">
        <v>7</v>
      </c>
      <c r="H39" s="27" t="str">
        <f t="shared" si="0"/>
        <v>Sa</v>
      </c>
      <c r="I39" s="28" t="str">
        <f t="shared" si="1"/>
        <v>ra</v>
      </c>
      <c r="J39" s="27">
        <f t="shared" si="2"/>
        <v>4</v>
      </c>
      <c r="K39" s="1" t="str">
        <f t="shared" si="3"/>
        <v>SARA</v>
      </c>
      <c r="L39" s="1" t="str">
        <f t="shared" si="4"/>
        <v>sara</v>
      </c>
      <c r="M39" s="1" t="str">
        <f t="shared" si="5"/>
        <v>Sara</v>
      </c>
      <c r="N39" s="1" t="str">
        <f t="shared" si="6"/>
        <v>Sara - Finance</v>
      </c>
      <c r="O39" s="1" t="str">
        <f t="shared" si="7"/>
        <v>Sara  Finance</v>
      </c>
      <c r="P39" s="1" t="str">
        <f t="shared" si="8"/>
        <v>Sar</v>
      </c>
    </row>
    <row r="40" spans="1:16" x14ac:dyDescent="0.3">
      <c r="A40" s="1">
        <v>1039</v>
      </c>
      <c r="B40" s="1" t="s">
        <v>10</v>
      </c>
      <c r="C40" s="1" t="s">
        <v>14</v>
      </c>
      <c r="D40" s="1" t="s">
        <v>12</v>
      </c>
      <c r="E40" s="1">
        <v>22824</v>
      </c>
      <c r="F40" s="1">
        <v>1476</v>
      </c>
      <c r="G40" s="24">
        <v>1</v>
      </c>
      <c r="H40" s="27" t="str">
        <f t="shared" si="0"/>
        <v>Me</v>
      </c>
      <c r="I40" s="28" t="str">
        <f t="shared" si="1"/>
        <v>na</v>
      </c>
      <c r="J40" s="27">
        <f t="shared" si="2"/>
        <v>5</v>
      </c>
      <c r="K40" s="1" t="str">
        <f t="shared" si="3"/>
        <v>MEENA</v>
      </c>
      <c r="L40" s="1" t="str">
        <f t="shared" si="4"/>
        <v>meena</v>
      </c>
      <c r="M40" s="1" t="str">
        <f t="shared" si="5"/>
        <v>Meena</v>
      </c>
      <c r="N40" s="1" t="str">
        <f t="shared" si="6"/>
        <v>Meena - HR</v>
      </c>
      <c r="O40" s="1" t="str">
        <f t="shared" si="7"/>
        <v>Meena  HR</v>
      </c>
      <c r="P40" s="1" t="str">
        <f t="shared" si="8"/>
        <v>Mee</v>
      </c>
    </row>
    <row r="41" spans="1:16" x14ac:dyDescent="0.3">
      <c r="A41" s="1">
        <v>1040</v>
      </c>
      <c r="B41" s="1" t="s">
        <v>29</v>
      </c>
      <c r="C41" s="1" t="s">
        <v>14</v>
      </c>
      <c r="D41" s="1" t="s">
        <v>15</v>
      </c>
      <c r="E41" s="1">
        <v>33132</v>
      </c>
      <c r="F41" s="1">
        <v>8684</v>
      </c>
      <c r="G41" s="24">
        <v>9</v>
      </c>
      <c r="H41" s="27" t="str">
        <f t="shared" si="0"/>
        <v>Es</v>
      </c>
      <c r="I41" s="28" t="str">
        <f t="shared" si="1"/>
        <v>ha</v>
      </c>
      <c r="J41" s="27">
        <f t="shared" si="2"/>
        <v>4</v>
      </c>
      <c r="K41" s="1" t="str">
        <f t="shared" si="3"/>
        <v>ESHA</v>
      </c>
      <c r="L41" s="1" t="str">
        <f t="shared" si="4"/>
        <v>esha</v>
      </c>
      <c r="M41" s="1" t="str">
        <f t="shared" si="5"/>
        <v>Esha</v>
      </c>
      <c r="N41" s="1" t="str">
        <f t="shared" si="6"/>
        <v>Esha - HR</v>
      </c>
      <c r="O41" s="1" t="str">
        <f t="shared" si="7"/>
        <v>Esha  HR</v>
      </c>
      <c r="P41" s="1" t="str">
        <f t="shared" si="8"/>
        <v>Esh</v>
      </c>
    </row>
    <row r="42" spans="1:16" x14ac:dyDescent="0.3">
      <c r="A42" s="1">
        <v>1041</v>
      </c>
      <c r="B42" s="1" t="s">
        <v>10</v>
      </c>
      <c r="C42" s="1" t="s">
        <v>8</v>
      </c>
      <c r="D42" s="1" t="s">
        <v>15</v>
      </c>
      <c r="E42" s="1">
        <v>26847</v>
      </c>
      <c r="F42" s="1">
        <v>8491</v>
      </c>
      <c r="G42" s="24">
        <v>2</v>
      </c>
      <c r="H42" s="27" t="str">
        <f t="shared" si="0"/>
        <v>Me</v>
      </c>
      <c r="I42" s="28" t="str">
        <f t="shared" si="1"/>
        <v>na</v>
      </c>
      <c r="J42" s="27">
        <f t="shared" si="2"/>
        <v>5</v>
      </c>
      <c r="K42" s="1" t="str">
        <f t="shared" si="3"/>
        <v>MEENA</v>
      </c>
      <c r="L42" s="1" t="str">
        <f t="shared" si="4"/>
        <v>meena</v>
      </c>
      <c r="M42" s="1" t="str">
        <f t="shared" si="5"/>
        <v>Meena</v>
      </c>
      <c r="N42" s="1" t="str">
        <f t="shared" si="6"/>
        <v>Meena - IT</v>
      </c>
      <c r="O42" s="1" t="str">
        <f t="shared" si="7"/>
        <v>Meena  IT</v>
      </c>
      <c r="P42" s="1" t="str">
        <f t="shared" si="8"/>
        <v>Mee</v>
      </c>
    </row>
    <row r="43" spans="1:16" x14ac:dyDescent="0.3">
      <c r="A43" s="1">
        <v>1042</v>
      </c>
      <c r="B43" s="1" t="s">
        <v>24</v>
      </c>
      <c r="C43" s="1" t="s">
        <v>8</v>
      </c>
      <c r="D43" s="1" t="s">
        <v>9</v>
      </c>
      <c r="E43" s="1">
        <v>28228</v>
      </c>
      <c r="F43" s="1">
        <v>2823</v>
      </c>
      <c r="G43" s="24">
        <v>2</v>
      </c>
      <c r="H43" s="27" t="str">
        <f t="shared" si="0"/>
        <v>Ba</v>
      </c>
      <c r="I43" s="28" t="str">
        <f t="shared" si="1"/>
        <v>la</v>
      </c>
      <c r="J43" s="27">
        <f t="shared" si="2"/>
        <v>4</v>
      </c>
      <c r="K43" s="1" t="str">
        <f t="shared" si="3"/>
        <v>BALA</v>
      </c>
      <c r="L43" s="1" t="str">
        <f t="shared" si="4"/>
        <v>bala</v>
      </c>
      <c r="M43" s="1" t="str">
        <f t="shared" si="5"/>
        <v>Bala</v>
      </c>
      <c r="N43" s="1" t="str">
        <f t="shared" si="6"/>
        <v>Bala - IT</v>
      </c>
      <c r="O43" s="1" t="str">
        <f t="shared" si="7"/>
        <v>Bala  IT</v>
      </c>
      <c r="P43" s="1" t="str">
        <f t="shared" si="8"/>
        <v>Bal</v>
      </c>
    </row>
    <row r="44" spans="1:16" x14ac:dyDescent="0.3">
      <c r="A44" s="1">
        <v>1043</v>
      </c>
      <c r="B44" s="1" t="s">
        <v>22</v>
      </c>
      <c r="C44" s="1" t="s">
        <v>8</v>
      </c>
      <c r="D44" s="1" t="s">
        <v>21</v>
      </c>
      <c r="E44" s="1">
        <v>58429</v>
      </c>
      <c r="F44" s="1">
        <v>5256</v>
      </c>
      <c r="G44" s="24">
        <v>5</v>
      </c>
      <c r="H44" s="27" t="str">
        <f t="shared" si="0"/>
        <v>La</v>
      </c>
      <c r="I44" s="28" t="str">
        <f t="shared" si="1"/>
        <v>ha</v>
      </c>
      <c r="J44" s="27">
        <f t="shared" si="2"/>
        <v>5</v>
      </c>
      <c r="K44" s="1" t="str">
        <f t="shared" si="3"/>
        <v>LATHA</v>
      </c>
      <c r="L44" s="1" t="str">
        <f t="shared" si="4"/>
        <v>latha</v>
      </c>
      <c r="M44" s="1" t="str">
        <f t="shared" si="5"/>
        <v>Latha</v>
      </c>
      <c r="N44" s="1" t="str">
        <f t="shared" si="6"/>
        <v>Latha - IT</v>
      </c>
      <c r="O44" s="1" t="str">
        <f t="shared" si="7"/>
        <v>Latha  IT</v>
      </c>
      <c r="P44" s="1" t="str">
        <f t="shared" si="8"/>
        <v>Lat</v>
      </c>
    </row>
    <row r="45" spans="1:16" x14ac:dyDescent="0.3">
      <c r="A45" s="1">
        <v>1044</v>
      </c>
      <c r="B45" s="1" t="s">
        <v>13</v>
      </c>
      <c r="C45" s="1" t="s">
        <v>19</v>
      </c>
      <c r="D45" s="1" t="s">
        <v>12</v>
      </c>
      <c r="E45" s="1">
        <v>51774</v>
      </c>
      <c r="F45" s="1">
        <v>2774</v>
      </c>
      <c r="G45" s="24">
        <v>8</v>
      </c>
      <c r="H45" s="27" t="str">
        <f t="shared" si="0"/>
        <v>Te</v>
      </c>
      <c r="I45" s="28" t="str">
        <f t="shared" si="1"/>
        <v>ja</v>
      </c>
      <c r="J45" s="27">
        <f t="shared" si="2"/>
        <v>4</v>
      </c>
      <c r="K45" s="1" t="str">
        <f t="shared" si="3"/>
        <v>TEJA</v>
      </c>
      <c r="L45" s="1" t="str">
        <f t="shared" si="4"/>
        <v>teja</v>
      </c>
      <c r="M45" s="1" t="str">
        <f t="shared" si="5"/>
        <v>Teja</v>
      </c>
      <c r="N45" s="1" t="str">
        <f t="shared" si="6"/>
        <v>Teja - Sales</v>
      </c>
      <c r="O45" s="1" t="str">
        <f t="shared" si="7"/>
        <v>Teja  Sales</v>
      </c>
      <c r="P45" s="1" t="str">
        <f t="shared" si="8"/>
        <v>Tej</v>
      </c>
    </row>
    <row r="46" spans="1:16" x14ac:dyDescent="0.3">
      <c r="A46" s="1">
        <v>1045</v>
      </c>
      <c r="B46" s="1" t="s">
        <v>27</v>
      </c>
      <c r="C46" s="1" t="s">
        <v>19</v>
      </c>
      <c r="D46" s="1" t="s">
        <v>15</v>
      </c>
      <c r="E46" s="1">
        <v>52101</v>
      </c>
      <c r="F46" s="1">
        <v>4256</v>
      </c>
      <c r="G46" s="24">
        <v>9</v>
      </c>
      <c r="H46" s="27" t="str">
        <f t="shared" si="0"/>
        <v>He</v>
      </c>
      <c r="I46" s="28" t="str">
        <f t="shared" si="1"/>
        <v>ma</v>
      </c>
      <c r="J46" s="27">
        <f t="shared" si="2"/>
        <v>4</v>
      </c>
      <c r="K46" s="1" t="str">
        <f t="shared" si="3"/>
        <v>HEMA</v>
      </c>
      <c r="L46" s="1" t="str">
        <f t="shared" si="4"/>
        <v>hema</v>
      </c>
      <c r="M46" s="1" t="str">
        <f t="shared" si="5"/>
        <v>Hema</v>
      </c>
      <c r="N46" s="1" t="str">
        <f t="shared" si="6"/>
        <v>Hema - Sales</v>
      </c>
      <c r="O46" s="1" t="str">
        <f t="shared" si="7"/>
        <v>Hema  Sales</v>
      </c>
      <c r="P46" s="1" t="str">
        <f t="shared" si="8"/>
        <v>Hem</v>
      </c>
    </row>
    <row r="47" spans="1:16" x14ac:dyDescent="0.3">
      <c r="A47" s="1">
        <v>1046</v>
      </c>
      <c r="B47" s="1" t="s">
        <v>18</v>
      </c>
      <c r="C47" s="1" t="s">
        <v>8</v>
      </c>
      <c r="D47" s="1" t="s">
        <v>12</v>
      </c>
      <c r="E47" s="1">
        <v>51907</v>
      </c>
      <c r="F47" s="1">
        <v>9757</v>
      </c>
      <c r="G47" s="24">
        <v>8</v>
      </c>
      <c r="H47" s="27" t="str">
        <f t="shared" si="0"/>
        <v>Ni</v>
      </c>
      <c r="I47" s="28" t="str">
        <f t="shared" si="1"/>
        <v>il</v>
      </c>
      <c r="J47" s="27">
        <f t="shared" si="2"/>
        <v>6</v>
      </c>
      <c r="K47" s="1" t="str">
        <f t="shared" si="3"/>
        <v>NIKHIL</v>
      </c>
      <c r="L47" s="1" t="str">
        <f t="shared" si="4"/>
        <v>nikhil</v>
      </c>
      <c r="M47" s="1" t="str">
        <f t="shared" si="5"/>
        <v>Nikhil</v>
      </c>
      <c r="N47" s="1" t="str">
        <f t="shared" si="6"/>
        <v>Nikhil - IT</v>
      </c>
      <c r="O47" s="1" t="str">
        <f t="shared" si="7"/>
        <v>Nikhil  IT</v>
      </c>
      <c r="P47" s="1" t="str">
        <f t="shared" si="8"/>
        <v>Nik</v>
      </c>
    </row>
    <row r="48" spans="1:16" x14ac:dyDescent="0.3">
      <c r="A48" s="1">
        <v>1047</v>
      </c>
      <c r="B48" s="1" t="s">
        <v>30</v>
      </c>
      <c r="C48" s="1" t="s">
        <v>8</v>
      </c>
      <c r="D48" s="1" t="s">
        <v>15</v>
      </c>
      <c r="E48" s="1">
        <v>71323</v>
      </c>
      <c r="F48" s="1">
        <v>3679</v>
      </c>
      <c r="G48" s="24">
        <v>5</v>
      </c>
      <c r="H48" s="27" t="str">
        <f t="shared" si="0"/>
        <v>Ir</v>
      </c>
      <c r="I48" s="28" t="str">
        <f t="shared" si="1"/>
        <v>an</v>
      </c>
      <c r="J48" s="27">
        <f t="shared" si="2"/>
        <v>5</v>
      </c>
      <c r="K48" s="1" t="str">
        <f t="shared" si="3"/>
        <v>IRFAN</v>
      </c>
      <c r="L48" s="1" t="str">
        <f t="shared" si="4"/>
        <v>irfan</v>
      </c>
      <c r="M48" s="1" t="str">
        <f t="shared" si="5"/>
        <v>Irfan</v>
      </c>
      <c r="N48" s="1" t="str">
        <f t="shared" si="6"/>
        <v>Irfan - IT</v>
      </c>
      <c r="O48" s="1" t="str">
        <f t="shared" si="7"/>
        <v>Irfan  IT</v>
      </c>
      <c r="P48" s="1" t="str">
        <f t="shared" si="8"/>
        <v>Irf</v>
      </c>
    </row>
    <row r="49" spans="1:16" x14ac:dyDescent="0.3">
      <c r="A49" s="1">
        <v>1048</v>
      </c>
      <c r="B49" s="1" t="s">
        <v>26</v>
      </c>
      <c r="C49" s="1" t="s">
        <v>19</v>
      </c>
      <c r="D49" s="1" t="s">
        <v>21</v>
      </c>
      <c r="E49" s="1">
        <v>27400</v>
      </c>
      <c r="F49" s="1">
        <v>8374</v>
      </c>
      <c r="G49" s="24">
        <v>1</v>
      </c>
      <c r="H49" s="27" t="str">
        <f t="shared" si="0"/>
        <v>Ch</v>
      </c>
      <c r="I49" s="28" t="str">
        <f t="shared" si="1"/>
        <v>an</v>
      </c>
      <c r="J49" s="27">
        <f t="shared" si="2"/>
        <v>6</v>
      </c>
      <c r="K49" s="1" t="str">
        <f t="shared" si="3"/>
        <v>CHARAN</v>
      </c>
      <c r="L49" s="1" t="str">
        <f t="shared" si="4"/>
        <v>charan</v>
      </c>
      <c r="M49" s="1" t="str">
        <f t="shared" si="5"/>
        <v>Charan</v>
      </c>
      <c r="N49" s="1" t="str">
        <f t="shared" si="6"/>
        <v>Charan - Sales</v>
      </c>
      <c r="O49" s="1" t="str">
        <f t="shared" si="7"/>
        <v>Charan  Sales</v>
      </c>
      <c r="P49" s="1" t="str">
        <f t="shared" si="8"/>
        <v>Cha</v>
      </c>
    </row>
    <row r="50" spans="1:16" x14ac:dyDescent="0.3">
      <c r="A50" s="1">
        <v>1049</v>
      </c>
      <c r="B50" s="1" t="s">
        <v>22</v>
      </c>
      <c r="C50" s="1" t="s">
        <v>14</v>
      </c>
      <c r="D50" s="1" t="s">
        <v>15</v>
      </c>
      <c r="E50" s="1">
        <v>58265</v>
      </c>
      <c r="F50" s="1">
        <v>7588</v>
      </c>
      <c r="G50" s="24">
        <v>9</v>
      </c>
      <c r="H50" s="27" t="str">
        <f t="shared" si="0"/>
        <v>La</v>
      </c>
      <c r="I50" s="28" t="str">
        <f t="shared" si="1"/>
        <v>ha</v>
      </c>
      <c r="J50" s="27">
        <f t="shared" si="2"/>
        <v>5</v>
      </c>
      <c r="K50" s="1" t="str">
        <f t="shared" si="3"/>
        <v>LATHA</v>
      </c>
      <c r="L50" s="1" t="str">
        <f t="shared" si="4"/>
        <v>latha</v>
      </c>
      <c r="M50" s="1" t="str">
        <f t="shared" si="5"/>
        <v>Latha</v>
      </c>
      <c r="N50" s="1" t="str">
        <f t="shared" si="6"/>
        <v>Latha - HR</v>
      </c>
      <c r="O50" s="1" t="str">
        <f t="shared" si="7"/>
        <v>Latha  HR</v>
      </c>
      <c r="P50" s="1" t="str">
        <f t="shared" si="8"/>
        <v>Lat</v>
      </c>
    </row>
    <row r="51" spans="1:16" x14ac:dyDescent="0.3">
      <c r="A51" s="1">
        <v>1050</v>
      </c>
      <c r="B51" s="1" t="s">
        <v>31</v>
      </c>
      <c r="C51" s="1" t="s">
        <v>8</v>
      </c>
      <c r="D51" s="1" t="s">
        <v>15</v>
      </c>
      <c r="E51" s="1">
        <v>33269</v>
      </c>
      <c r="F51" s="1">
        <v>5636</v>
      </c>
      <c r="G51" s="24">
        <v>3</v>
      </c>
      <c r="H51" s="27" t="str">
        <f t="shared" si="0"/>
        <v>Om</v>
      </c>
      <c r="I51" s="28" t="str">
        <f t="shared" si="1"/>
        <v>Om</v>
      </c>
      <c r="J51" s="27">
        <f t="shared" si="2"/>
        <v>2</v>
      </c>
      <c r="K51" s="1" t="str">
        <f t="shared" si="3"/>
        <v>OM</v>
      </c>
      <c r="L51" s="1" t="str">
        <f t="shared" si="4"/>
        <v>om</v>
      </c>
      <c r="M51" s="1" t="str">
        <f t="shared" si="5"/>
        <v>Om</v>
      </c>
      <c r="N51" s="1" t="str">
        <f t="shared" si="6"/>
        <v>Om - IT</v>
      </c>
      <c r="O51" s="1" t="str">
        <f t="shared" si="7"/>
        <v>Om  IT</v>
      </c>
      <c r="P51" s="1" t="str">
        <f t="shared" si="8"/>
        <v>Om</v>
      </c>
    </row>
    <row r="52" spans="1:16" x14ac:dyDescent="0.3">
      <c r="A52" s="1">
        <v>1051</v>
      </c>
      <c r="B52" s="1" t="s">
        <v>22</v>
      </c>
      <c r="C52" s="1" t="s">
        <v>11</v>
      </c>
      <c r="D52" s="1" t="s">
        <v>21</v>
      </c>
      <c r="E52" s="1">
        <v>21766</v>
      </c>
      <c r="F52" s="1">
        <v>3144</v>
      </c>
      <c r="G52" s="24">
        <v>4</v>
      </c>
      <c r="H52" s="27" t="str">
        <f t="shared" si="0"/>
        <v>La</v>
      </c>
      <c r="I52" s="28" t="str">
        <f t="shared" si="1"/>
        <v>ha</v>
      </c>
      <c r="J52" s="27">
        <f t="shared" si="2"/>
        <v>5</v>
      </c>
      <c r="K52" s="1" t="str">
        <f t="shared" si="3"/>
        <v>LATHA</v>
      </c>
      <c r="L52" s="1" t="str">
        <f t="shared" si="4"/>
        <v>latha</v>
      </c>
      <c r="M52" s="1" t="str">
        <f t="shared" si="5"/>
        <v>Latha</v>
      </c>
      <c r="N52" s="1" t="str">
        <f t="shared" si="6"/>
        <v>Latha - Finance</v>
      </c>
      <c r="O52" s="1" t="str">
        <f t="shared" si="7"/>
        <v>Latha  Finance</v>
      </c>
      <c r="P52" s="1" t="str">
        <f t="shared" si="8"/>
        <v>Lat</v>
      </c>
    </row>
    <row r="53" spans="1:16" x14ac:dyDescent="0.3">
      <c r="A53" s="1">
        <v>1052</v>
      </c>
      <c r="B53" s="1" t="s">
        <v>13</v>
      </c>
      <c r="C53" s="1" t="s">
        <v>14</v>
      </c>
      <c r="D53" s="1" t="s">
        <v>12</v>
      </c>
      <c r="E53" s="1">
        <v>74489</v>
      </c>
      <c r="F53" s="1">
        <v>4055</v>
      </c>
      <c r="G53" s="24">
        <v>1</v>
      </c>
      <c r="H53" s="27" t="str">
        <f t="shared" si="0"/>
        <v>Te</v>
      </c>
      <c r="I53" s="28" t="str">
        <f t="shared" si="1"/>
        <v>ja</v>
      </c>
      <c r="J53" s="27">
        <f t="shared" si="2"/>
        <v>4</v>
      </c>
      <c r="K53" s="1" t="str">
        <f t="shared" si="3"/>
        <v>TEJA</v>
      </c>
      <c r="L53" s="1" t="str">
        <f t="shared" si="4"/>
        <v>teja</v>
      </c>
      <c r="M53" s="1" t="str">
        <f t="shared" si="5"/>
        <v>Teja</v>
      </c>
      <c r="N53" s="1" t="str">
        <f t="shared" si="6"/>
        <v>Teja - HR</v>
      </c>
      <c r="O53" s="1" t="str">
        <f t="shared" si="7"/>
        <v>Teja  HR</v>
      </c>
      <c r="P53" s="1" t="str">
        <f t="shared" si="8"/>
        <v>Tej</v>
      </c>
    </row>
    <row r="54" spans="1:16" x14ac:dyDescent="0.3">
      <c r="A54" s="1">
        <v>1053</v>
      </c>
      <c r="B54" s="1" t="s">
        <v>30</v>
      </c>
      <c r="C54" s="1" t="s">
        <v>19</v>
      </c>
      <c r="D54" s="1" t="s">
        <v>21</v>
      </c>
      <c r="E54" s="1">
        <v>27248</v>
      </c>
      <c r="F54" s="1">
        <v>7369</v>
      </c>
      <c r="G54" s="24">
        <v>5</v>
      </c>
      <c r="H54" s="27" t="str">
        <f t="shared" si="0"/>
        <v>Ir</v>
      </c>
      <c r="I54" s="28" t="str">
        <f t="shared" si="1"/>
        <v>an</v>
      </c>
      <c r="J54" s="27">
        <f t="shared" si="2"/>
        <v>5</v>
      </c>
      <c r="K54" s="1" t="str">
        <f t="shared" si="3"/>
        <v>IRFAN</v>
      </c>
      <c r="L54" s="1" t="str">
        <f t="shared" si="4"/>
        <v>irfan</v>
      </c>
      <c r="M54" s="1" t="str">
        <f t="shared" si="5"/>
        <v>Irfan</v>
      </c>
      <c r="N54" s="1" t="str">
        <f t="shared" si="6"/>
        <v>Irfan - Sales</v>
      </c>
      <c r="O54" s="1" t="str">
        <f t="shared" si="7"/>
        <v>Irfan  Sales</v>
      </c>
      <c r="P54" s="1" t="str">
        <f t="shared" si="8"/>
        <v>Irf</v>
      </c>
    </row>
    <row r="55" spans="1:16" x14ac:dyDescent="0.3">
      <c r="A55" s="1">
        <v>1054</v>
      </c>
      <c r="B55" s="1" t="s">
        <v>32</v>
      </c>
      <c r="C55" s="1" t="s">
        <v>8</v>
      </c>
      <c r="D55" s="1" t="s">
        <v>15</v>
      </c>
      <c r="E55" s="1">
        <v>70703</v>
      </c>
      <c r="F55" s="1">
        <v>5796</v>
      </c>
      <c r="G55" s="24">
        <v>8</v>
      </c>
      <c r="H55" s="27" t="str">
        <f t="shared" si="0"/>
        <v>Po</v>
      </c>
      <c r="I55" s="28" t="str">
        <f t="shared" si="1"/>
        <v>ja</v>
      </c>
      <c r="J55" s="27">
        <f t="shared" si="2"/>
        <v>5</v>
      </c>
      <c r="K55" s="1" t="str">
        <f t="shared" si="3"/>
        <v>POOJA</v>
      </c>
      <c r="L55" s="1" t="str">
        <f t="shared" si="4"/>
        <v>pooja</v>
      </c>
      <c r="M55" s="1" t="str">
        <f t="shared" si="5"/>
        <v>Pooja</v>
      </c>
      <c r="N55" s="1" t="str">
        <f t="shared" si="6"/>
        <v>Pooja - IT</v>
      </c>
      <c r="O55" s="1" t="str">
        <f t="shared" si="7"/>
        <v>Pooja  IT</v>
      </c>
      <c r="P55" s="1" t="str">
        <f t="shared" si="8"/>
        <v>Poo</v>
      </c>
    </row>
    <row r="56" spans="1:16" x14ac:dyDescent="0.3">
      <c r="A56" s="1">
        <v>1055</v>
      </c>
      <c r="B56" s="1" t="s">
        <v>28</v>
      </c>
      <c r="C56" s="1" t="s">
        <v>11</v>
      </c>
      <c r="D56" s="1" t="s">
        <v>9</v>
      </c>
      <c r="E56" s="1">
        <v>53725</v>
      </c>
      <c r="F56" s="1">
        <v>3478</v>
      </c>
      <c r="G56" s="24">
        <v>1</v>
      </c>
      <c r="H56" s="27" t="str">
        <f t="shared" si="0"/>
        <v>Ra</v>
      </c>
      <c r="I56" s="28" t="str">
        <f t="shared" si="1"/>
        <v>vi</v>
      </c>
      <c r="J56" s="27">
        <f t="shared" si="2"/>
        <v>4</v>
      </c>
      <c r="K56" s="1" t="str">
        <f t="shared" si="3"/>
        <v>RAVI</v>
      </c>
      <c r="L56" s="1" t="str">
        <f t="shared" si="4"/>
        <v>ravi</v>
      </c>
      <c r="M56" s="1" t="str">
        <f t="shared" si="5"/>
        <v>Ravi</v>
      </c>
      <c r="N56" s="1" t="str">
        <f t="shared" si="6"/>
        <v>Ravi - Finance</v>
      </c>
      <c r="O56" s="1" t="str">
        <f t="shared" si="7"/>
        <v>Ravi  Finance</v>
      </c>
      <c r="P56" s="1" t="str">
        <f t="shared" si="8"/>
        <v>Rav</v>
      </c>
    </row>
    <row r="57" spans="1:16" x14ac:dyDescent="0.3">
      <c r="A57" s="1">
        <v>1056</v>
      </c>
      <c r="B57" s="1" t="s">
        <v>18</v>
      </c>
      <c r="C57" s="1" t="s">
        <v>19</v>
      </c>
      <c r="D57" s="1" t="s">
        <v>15</v>
      </c>
      <c r="E57" s="1">
        <v>31273</v>
      </c>
      <c r="F57" s="1">
        <v>7614</v>
      </c>
      <c r="G57" s="24">
        <v>5</v>
      </c>
      <c r="H57" s="27" t="str">
        <f t="shared" si="0"/>
        <v>Ni</v>
      </c>
      <c r="I57" s="28" t="str">
        <f t="shared" si="1"/>
        <v>il</v>
      </c>
      <c r="J57" s="27">
        <f t="shared" si="2"/>
        <v>6</v>
      </c>
      <c r="K57" s="1" t="str">
        <f t="shared" si="3"/>
        <v>NIKHIL</v>
      </c>
      <c r="L57" s="1" t="str">
        <f t="shared" si="4"/>
        <v>nikhil</v>
      </c>
      <c r="M57" s="1" t="str">
        <f t="shared" si="5"/>
        <v>Nikhil</v>
      </c>
      <c r="N57" s="1" t="str">
        <f t="shared" si="6"/>
        <v>Nikhil - Sales</v>
      </c>
      <c r="O57" s="1" t="str">
        <f t="shared" si="7"/>
        <v>Nikhil  Sales</v>
      </c>
      <c r="P57" s="1" t="str">
        <f t="shared" si="8"/>
        <v>Nik</v>
      </c>
    </row>
    <row r="58" spans="1:16" x14ac:dyDescent="0.3">
      <c r="A58" s="1">
        <v>1057</v>
      </c>
      <c r="B58" s="1" t="s">
        <v>7</v>
      </c>
      <c r="C58" s="1" t="s">
        <v>19</v>
      </c>
      <c r="D58" s="1" t="s">
        <v>9</v>
      </c>
      <c r="E58" s="1">
        <v>38884</v>
      </c>
      <c r="F58" s="1">
        <v>8365</v>
      </c>
      <c r="G58" s="24">
        <v>6</v>
      </c>
      <c r="H58" s="27" t="str">
        <f t="shared" si="0"/>
        <v>Jo</v>
      </c>
      <c r="I58" s="28" t="str">
        <f t="shared" si="1"/>
        <v>hn</v>
      </c>
      <c r="J58" s="27">
        <f t="shared" si="2"/>
        <v>4</v>
      </c>
      <c r="K58" s="1" t="str">
        <f t="shared" si="3"/>
        <v>JOHN</v>
      </c>
      <c r="L58" s="1" t="str">
        <f t="shared" si="4"/>
        <v>john</v>
      </c>
      <c r="M58" s="1" t="str">
        <f t="shared" si="5"/>
        <v>John</v>
      </c>
      <c r="N58" s="1" t="str">
        <f t="shared" si="6"/>
        <v>John - Sales</v>
      </c>
      <c r="O58" s="1" t="str">
        <f t="shared" si="7"/>
        <v>John  Sales</v>
      </c>
      <c r="P58" s="1" t="str">
        <f t="shared" si="8"/>
        <v>Joh</v>
      </c>
    </row>
    <row r="59" spans="1:16" x14ac:dyDescent="0.3">
      <c r="A59" s="1">
        <v>1058</v>
      </c>
      <c r="B59" s="1" t="s">
        <v>26</v>
      </c>
      <c r="C59" s="1" t="s">
        <v>8</v>
      </c>
      <c r="D59" s="1" t="s">
        <v>21</v>
      </c>
      <c r="E59" s="1">
        <v>39456</v>
      </c>
      <c r="F59" s="1">
        <v>2415</v>
      </c>
      <c r="G59" s="24">
        <v>7</v>
      </c>
      <c r="H59" s="27" t="str">
        <f t="shared" si="0"/>
        <v>Ch</v>
      </c>
      <c r="I59" s="28" t="str">
        <f t="shared" si="1"/>
        <v>an</v>
      </c>
      <c r="J59" s="27">
        <f t="shared" si="2"/>
        <v>6</v>
      </c>
      <c r="K59" s="1" t="str">
        <f t="shared" si="3"/>
        <v>CHARAN</v>
      </c>
      <c r="L59" s="1" t="str">
        <f t="shared" si="4"/>
        <v>charan</v>
      </c>
      <c r="M59" s="1" t="str">
        <f t="shared" si="5"/>
        <v>Charan</v>
      </c>
      <c r="N59" s="1" t="str">
        <f t="shared" si="6"/>
        <v>Charan - IT</v>
      </c>
      <c r="O59" s="1" t="str">
        <f t="shared" si="7"/>
        <v>Charan  IT</v>
      </c>
      <c r="P59" s="1" t="str">
        <f t="shared" si="8"/>
        <v>Cha</v>
      </c>
    </row>
    <row r="60" spans="1:16" x14ac:dyDescent="0.3">
      <c r="A60" s="1">
        <v>1059</v>
      </c>
      <c r="B60" s="1" t="s">
        <v>20</v>
      </c>
      <c r="C60" s="1" t="s">
        <v>19</v>
      </c>
      <c r="D60" s="1" t="s">
        <v>21</v>
      </c>
      <c r="E60" s="1">
        <v>75599</v>
      </c>
      <c r="F60" s="1">
        <v>3080</v>
      </c>
      <c r="G60" s="24">
        <v>6</v>
      </c>
      <c r="H60" s="27" t="str">
        <f t="shared" si="0"/>
        <v>Gi</v>
      </c>
      <c r="I60" s="28" t="str">
        <f t="shared" si="1"/>
        <v>ri</v>
      </c>
      <c r="J60" s="27">
        <f t="shared" si="2"/>
        <v>4</v>
      </c>
      <c r="K60" s="1" t="str">
        <f t="shared" si="3"/>
        <v>GIRI</v>
      </c>
      <c r="L60" s="1" t="str">
        <f t="shared" si="4"/>
        <v>giri</v>
      </c>
      <c r="M60" s="1" t="str">
        <f t="shared" si="5"/>
        <v>Giri</v>
      </c>
      <c r="N60" s="1" t="str">
        <f t="shared" si="6"/>
        <v>Giri - Sales</v>
      </c>
      <c r="O60" s="1" t="str">
        <f t="shared" si="7"/>
        <v>Giri  Sales</v>
      </c>
      <c r="P60" s="1" t="str">
        <f t="shared" si="8"/>
        <v>Gir</v>
      </c>
    </row>
    <row r="61" spans="1:16" x14ac:dyDescent="0.3">
      <c r="A61" s="1">
        <v>1060</v>
      </c>
      <c r="B61" s="1" t="s">
        <v>27</v>
      </c>
      <c r="C61" s="1" t="s">
        <v>19</v>
      </c>
      <c r="D61" s="1" t="s">
        <v>21</v>
      </c>
      <c r="E61" s="1">
        <v>21371</v>
      </c>
      <c r="F61" s="1">
        <v>7106</v>
      </c>
      <c r="G61" s="24">
        <v>2</v>
      </c>
      <c r="H61" s="27" t="str">
        <f t="shared" si="0"/>
        <v>He</v>
      </c>
      <c r="I61" s="28" t="str">
        <f t="shared" si="1"/>
        <v>ma</v>
      </c>
      <c r="J61" s="27">
        <f t="shared" si="2"/>
        <v>4</v>
      </c>
      <c r="K61" s="1" t="str">
        <f t="shared" si="3"/>
        <v>HEMA</v>
      </c>
      <c r="L61" s="1" t="str">
        <f t="shared" si="4"/>
        <v>hema</v>
      </c>
      <c r="M61" s="1" t="str">
        <f t="shared" si="5"/>
        <v>Hema</v>
      </c>
      <c r="N61" s="1" t="str">
        <f t="shared" si="6"/>
        <v>Hema - Sales</v>
      </c>
      <c r="O61" s="1" t="str">
        <f t="shared" si="7"/>
        <v>Hema  Sales</v>
      </c>
      <c r="P61" s="1" t="str">
        <f t="shared" si="8"/>
        <v>Hem</v>
      </c>
    </row>
    <row r="62" spans="1:16" x14ac:dyDescent="0.3">
      <c r="A62" s="1">
        <v>1061</v>
      </c>
      <c r="B62" s="1" t="s">
        <v>26</v>
      </c>
      <c r="C62" s="1" t="s">
        <v>8</v>
      </c>
      <c r="D62" s="1" t="s">
        <v>9</v>
      </c>
      <c r="E62" s="1">
        <v>30824</v>
      </c>
      <c r="F62" s="1">
        <v>2205</v>
      </c>
      <c r="G62" s="24">
        <v>10</v>
      </c>
      <c r="H62" s="27" t="str">
        <f t="shared" si="0"/>
        <v>Ch</v>
      </c>
      <c r="I62" s="28" t="str">
        <f t="shared" si="1"/>
        <v>an</v>
      </c>
      <c r="J62" s="27">
        <f t="shared" si="2"/>
        <v>6</v>
      </c>
      <c r="K62" s="1" t="str">
        <f t="shared" si="3"/>
        <v>CHARAN</v>
      </c>
      <c r="L62" s="1" t="str">
        <f t="shared" si="4"/>
        <v>charan</v>
      </c>
      <c r="M62" s="1" t="str">
        <f t="shared" si="5"/>
        <v>Charan</v>
      </c>
      <c r="N62" s="1" t="str">
        <f t="shared" si="6"/>
        <v>Charan - IT</v>
      </c>
      <c r="O62" s="1" t="str">
        <f t="shared" si="7"/>
        <v>Charan  IT</v>
      </c>
      <c r="P62" s="1" t="str">
        <f t="shared" si="8"/>
        <v>Cha</v>
      </c>
    </row>
    <row r="63" spans="1:16" x14ac:dyDescent="0.3">
      <c r="A63" s="1">
        <v>1062</v>
      </c>
      <c r="B63" s="1" t="s">
        <v>7</v>
      </c>
      <c r="C63" s="1" t="s">
        <v>11</v>
      </c>
      <c r="D63" s="1" t="s">
        <v>9</v>
      </c>
      <c r="E63" s="1">
        <v>75049</v>
      </c>
      <c r="F63" s="1">
        <v>3176</v>
      </c>
      <c r="G63" s="24">
        <v>5</v>
      </c>
      <c r="H63" s="27" t="str">
        <f t="shared" si="0"/>
        <v>Jo</v>
      </c>
      <c r="I63" s="28" t="str">
        <f t="shared" si="1"/>
        <v>hn</v>
      </c>
      <c r="J63" s="27">
        <f t="shared" si="2"/>
        <v>4</v>
      </c>
      <c r="K63" s="1" t="str">
        <f t="shared" si="3"/>
        <v>JOHN</v>
      </c>
      <c r="L63" s="1" t="str">
        <f t="shared" si="4"/>
        <v>john</v>
      </c>
      <c r="M63" s="1" t="str">
        <f t="shared" si="5"/>
        <v>John</v>
      </c>
      <c r="N63" s="1" t="str">
        <f t="shared" si="6"/>
        <v>John - Finance</v>
      </c>
      <c r="O63" s="1" t="str">
        <f t="shared" si="7"/>
        <v>John  Finance</v>
      </c>
      <c r="P63" s="1" t="str">
        <f t="shared" si="8"/>
        <v>Joh</v>
      </c>
    </row>
    <row r="64" spans="1:16" x14ac:dyDescent="0.3">
      <c r="A64" s="1">
        <v>1063</v>
      </c>
      <c r="B64" s="1" t="s">
        <v>22</v>
      </c>
      <c r="C64" s="1" t="s">
        <v>14</v>
      </c>
      <c r="D64" s="1" t="s">
        <v>12</v>
      </c>
      <c r="E64" s="1">
        <v>72895</v>
      </c>
      <c r="F64" s="1">
        <v>1576</v>
      </c>
      <c r="G64" s="24">
        <v>7</v>
      </c>
      <c r="H64" s="27" t="str">
        <f t="shared" si="0"/>
        <v>La</v>
      </c>
      <c r="I64" s="28" t="str">
        <f t="shared" si="1"/>
        <v>ha</v>
      </c>
      <c r="J64" s="27">
        <f t="shared" si="2"/>
        <v>5</v>
      </c>
      <c r="K64" s="1" t="str">
        <f t="shared" si="3"/>
        <v>LATHA</v>
      </c>
      <c r="L64" s="1" t="str">
        <f t="shared" si="4"/>
        <v>latha</v>
      </c>
      <c r="M64" s="1" t="str">
        <f t="shared" si="5"/>
        <v>Latha</v>
      </c>
      <c r="N64" s="1" t="str">
        <f t="shared" si="6"/>
        <v>Latha - HR</v>
      </c>
      <c r="O64" s="1" t="str">
        <f t="shared" si="7"/>
        <v>Latha  HR</v>
      </c>
      <c r="P64" s="1" t="str">
        <f t="shared" si="8"/>
        <v>Lat</v>
      </c>
    </row>
    <row r="65" spans="1:16" x14ac:dyDescent="0.3">
      <c r="A65" s="1">
        <v>1064</v>
      </c>
      <c r="B65" s="1" t="s">
        <v>20</v>
      </c>
      <c r="C65" s="1" t="s">
        <v>19</v>
      </c>
      <c r="D65" s="1" t="s">
        <v>21</v>
      </c>
      <c r="E65" s="1">
        <v>47550</v>
      </c>
      <c r="F65" s="1">
        <v>8666</v>
      </c>
      <c r="G65" s="24">
        <v>7</v>
      </c>
      <c r="H65" s="27" t="str">
        <f t="shared" si="0"/>
        <v>Gi</v>
      </c>
      <c r="I65" s="28" t="str">
        <f t="shared" si="1"/>
        <v>ri</v>
      </c>
      <c r="J65" s="27">
        <f t="shared" si="2"/>
        <v>4</v>
      </c>
      <c r="K65" s="1" t="str">
        <f t="shared" si="3"/>
        <v>GIRI</v>
      </c>
      <c r="L65" s="1" t="str">
        <f t="shared" si="4"/>
        <v>giri</v>
      </c>
      <c r="M65" s="1" t="str">
        <f t="shared" si="5"/>
        <v>Giri</v>
      </c>
      <c r="N65" s="1" t="str">
        <f t="shared" si="6"/>
        <v>Giri - Sales</v>
      </c>
      <c r="O65" s="1" t="str">
        <f t="shared" si="7"/>
        <v>Giri  Sales</v>
      </c>
      <c r="P65" s="1" t="str">
        <f t="shared" si="8"/>
        <v>Gir</v>
      </c>
    </row>
    <row r="66" spans="1:16" x14ac:dyDescent="0.3">
      <c r="A66" s="1">
        <v>1065</v>
      </c>
      <c r="B66" s="1" t="s">
        <v>22</v>
      </c>
      <c r="C66" s="1" t="s">
        <v>11</v>
      </c>
      <c r="D66" s="1" t="s">
        <v>15</v>
      </c>
      <c r="E66" s="1">
        <v>55068</v>
      </c>
      <c r="F66" s="1">
        <v>3185</v>
      </c>
      <c r="G66" s="24">
        <v>7</v>
      </c>
      <c r="H66" s="27" t="str">
        <f t="shared" si="0"/>
        <v>La</v>
      </c>
      <c r="I66" s="28" t="str">
        <f t="shared" si="1"/>
        <v>ha</v>
      </c>
      <c r="J66" s="27">
        <f t="shared" si="2"/>
        <v>5</v>
      </c>
      <c r="K66" s="1" t="str">
        <f t="shared" si="3"/>
        <v>LATHA</v>
      </c>
      <c r="L66" s="1" t="str">
        <f t="shared" si="4"/>
        <v>latha</v>
      </c>
      <c r="M66" s="1" t="str">
        <f t="shared" si="5"/>
        <v>Latha</v>
      </c>
      <c r="N66" s="1" t="str">
        <f t="shared" si="6"/>
        <v>Latha - Finance</v>
      </c>
      <c r="O66" s="1" t="str">
        <f t="shared" si="7"/>
        <v>Latha  Finance</v>
      </c>
      <c r="P66" s="1" t="str">
        <f t="shared" si="8"/>
        <v>Lat</v>
      </c>
    </row>
    <row r="67" spans="1:16" x14ac:dyDescent="0.3">
      <c r="A67" s="1">
        <v>1066</v>
      </c>
      <c r="B67" s="1" t="s">
        <v>33</v>
      </c>
      <c r="C67" s="1" t="s">
        <v>8</v>
      </c>
      <c r="D67" s="1" t="s">
        <v>15</v>
      </c>
      <c r="E67" s="1">
        <v>40936</v>
      </c>
      <c r="F67" s="1">
        <v>4211</v>
      </c>
      <c r="G67" s="24">
        <v>3</v>
      </c>
      <c r="H67" s="27" t="str">
        <f t="shared" ref="H67:H130" si="9">LEFT(B67,2)</f>
        <v>Da</v>
      </c>
      <c r="I67" s="28" t="str">
        <f t="shared" ref="I67:I130" si="10">RIGHT(B67,2)</f>
        <v>id</v>
      </c>
      <c r="J67" s="27">
        <f t="shared" ref="J67:J130" si="11">LEN(B67)</f>
        <v>5</v>
      </c>
      <c r="K67" s="1" t="str">
        <f t="shared" ref="K67:K130" si="12">UPPER(B67)</f>
        <v>DAVID</v>
      </c>
      <c r="L67" s="1" t="str">
        <f t="shared" ref="L67:L130" si="13">LOWER(B67)</f>
        <v>david</v>
      </c>
      <c r="M67" s="1" t="str">
        <f t="shared" ref="M67:M130" si="14">TRIM(B67)</f>
        <v>David</v>
      </c>
      <c r="N67" s="1" t="str">
        <f t="shared" ref="N67:N130" si="15">_xlfn.CONCAT(B67,  " - ", C67)</f>
        <v>David - IT</v>
      </c>
      <c r="O67" s="1" t="str">
        <f t="shared" ref="O67:O130" si="16">SUBSTITUTE(N67," -", " ")</f>
        <v>David  IT</v>
      </c>
      <c r="P67" s="1" t="str">
        <f t="shared" ref="P67:P130" si="17">MID(B67,1,3)</f>
        <v>Dav</v>
      </c>
    </row>
    <row r="68" spans="1:16" x14ac:dyDescent="0.3">
      <c r="A68" s="1">
        <v>1067</v>
      </c>
      <c r="B68" s="1" t="s">
        <v>24</v>
      </c>
      <c r="C68" s="1" t="s">
        <v>19</v>
      </c>
      <c r="D68" s="1" t="s">
        <v>15</v>
      </c>
      <c r="E68" s="1">
        <v>61479</v>
      </c>
      <c r="F68" s="1">
        <v>5657</v>
      </c>
      <c r="G68" s="24">
        <v>10</v>
      </c>
      <c r="H68" s="27" t="str">
        <f t="shared" si="9"/>
        <v>Ba</v>
      </c>
      <c r="I68" s="28" t="str">
        <f t="shared" si="10"/>
        <v>la</v>
      </c>
      <c r="J68" s="27">
        <f t="shared" si="11"/>
        <v>4</v>
      </c>
      <c r="K68" s="1" t="str">
        <f t="shared" si="12"/>
        <v>BALA</v>
      </c>
      <c r="L68" s="1" t="str">
        <f t="shared" si="13"/>
        <v>bala</v>
      </c>
      <c r="M68" s="1" t="str">
        <f t="shared" si="14"/>
        <v>Bala</v>
      </c>
      <c r="N68" s="1" t="str">
        <f t="shared" si="15"/>
        <v>Bala - Sales</v>
      </c>
      <c r="O68" s="1" t="str">
        <f t="shared" si="16"/>
        <v>Bala  Sales</v>
      </c>
      <c r="P68" s="1" t="str">
        <f t="shared" si="17"/>
        <v>Bal</v>
      </c>
    </row>
    <row r="69" spans="1:16" x14ac:dyDescent="0.3">
      <c r="A69" s="1">
        <v>1068</v>
      </c>
      <c r="B69" s="1" t="s">
        <v>22</v>
      </c>
      <c r="C69" s="1" t="s">
        <v>11</v>
      </c>
      <c r="D69" s="1" t="s">
        <v>12</v>
      </c>
      <c r="E69" s="1">
        <v>37975</v>
      </c>
      <c r="F69" s="1">
        <v>9510</v>
      </c>
      <c r="G69" s="24">
        <v>6</v>
      </c>
      <c r="H69" s="27" t="str">
        <f t="shared" si="9"/>
        <v>La</v>
      </c>
      <c r="I69" s="28" t="str">
        <f t="shared" si="10"/>
        <v>ha</v>
      </c>
      <c r="J69" s="27">
        <f t="shared" si="11"/>
        <v>5</v>
      </c>
      <c r="K69" s="1" t="str">
        <f t="shared" si="12"/>
        <v>LATHA</v>
      </c>
      <c r="L69" s="1" t="str">
        <f t="shared" si="13"/>
        <v>latha</v>
      </c>
      <c r="M69" s="1" t="str">
        <f t="shared" si="14"/>
        <v>Latha</v>
      </c>
      <c r="N69" s="1" t="str">
        <f t="shared" si="15"/>
        <v>Latha - Finance</v>
      </c>
      <c r="O69" s="1" t="str">
        <f t="shared" si="16"/>
        <v>Latha  Finance</v>
      </c>
      <c r="P69" s="1" t="str">
        <f t="shared" si="17"/>
        <v>Lat</v>
      </c>
    </row>
    <row r="70" spans="1:16" x14ac:dyDescent="0.3">
      <c r="A70" s="1">
        <v>1069</v>
      </c>
      <c r="B70" s="1" t="s">
        <v>34</v>
      </c>
      <c r="C70" s="1" t="s">
        <v>8</v>
      </c>
      <c r="D70" s="1" t="s">
        <v>12</v>
      </c>
      <c r="E70" s="1">
        <v>25240</v>
      </c>
      <c r="F70" s="1">
        <v>4594</v>
      </c>
      <c r="G70" s="24">
        <v>8</v>
      </c>
      <c r="H70" s="27" t="str">
        <f t="shared" si="9"/>
        <v>Ar</v>
      </c>
      <c r="I70" s="28" t="str">
        <f t="shared" si="10"/>
        <v>un</v>
      </c>
      <c r="J70" s="27">
        <f t="shared" si="11"/>
        <v>4</v>
      </c>
      <c r="K70" s="1" t="str">
        <f t="shared" si="12"/>
        <v>ARUN</v>
      </c>
      <c r="L70" s="1" t="str">
        <f t="shared" si="13"/>
        <v>arun</v>
      </c>
      <c r="M70" s="1" t="str">
        <f t="shared" si="14"/>
        <v>Arun</v>
      </c>
      <c r="N70" s="1" t="str">
        <f t="shared" si="15"/>
        <v>Arun - IT</v>
      </c>
      <c r="O70" s="1" t="str">
        <f t="shared" si="16"/>
        <v>Arun  IT</v>
      </c>
      <c r="P70" s="1" t="str">
        <f t="shared" si="17"/>
        <v>Aru</v>
      </c>
    </row>
    <row r="71" spans="1:16" x14ac:dyDescent="0.3">
      <c r="A71" s="1">
        <v>1070</v>
      </c>
      <c r="B71" s="1" t="s">
        <v>27</v>
      </c>
      <c r="C71" s="1" t="s">
        <v>14</v>
      </c>
      <c r="D71" s="1" t="s">
        <v>21</v>
      </c>
      <c r="E71" s="1">
        <v>23101</v>
      </c>
      <c r="F71" s="1">
        <v>1108</v>
      </c>
      <c r="G71" s="24">
        <v>1</v>
      </c>
      <c r="H71" s="27" t="str">
        <f t="shared" si="9"/>
        <v>He</v>
      </c>
      <c r="I71" s="28" t="str">
        <f t="shared" si="10"/>
        <v>ma</v>
      </c>
      <c r="J71" s="27">
        <f t="shared" si="11"/>
        <v>4</v>
      </c>
      <c r="K71" s="1" t="str">
        <f t="shared" si="12"/>
        <v>HEMA</v>
      </c>
      <c r="L71" s="1" t="str">
        <f t="shared" si="13"/>
        <v>hema</v>
      </c>
      <c r="M71" s="1" t="str">
        <f t="shared" si="14"/>
        <v>Hema</v>
      </c>
      <c r="N71" s="1" t="str">
        <f t="shared" si="15"/>
        <v>Hema - HR</v>
      </c>
      <c r="O71" s="1" t="str">
        <f t="shared" si="16"/>
        <v>Hema  HR</v>
      </c>
      <c r="P71" s="1" t="str">
        <f t="shared" si="17"/>
        <v>Hem</v>
      </c>
    </row>
    <row r="72" spans="1:16" x14ac:dyDescent="0.3">
      <c r="A72" s="1">
        <v>1071</v>
      </c>
      <c r="B72" s="1" t="s">
        <v>33</v>
      </c>
      <c r="C72" s="1" t="s">
        <v>11</v>
      </c>
      <c r="D72" s="1" t="s">
        <v>15</v>
      </c>
      <c r="E72" s="1">
        <v>28670</v>
      </c>
      <c r="F72" s="1">
        <v>5096</v>
      </c>
      <c r="G72" s="24">
        <v>6</v>
      </c>
      <c r="H72" s="27" t="str">
        <f t="shared" si="9"/>
        <v>Da</v>
      </c>
      <c r="I72" s="28" t="str">
        <f t="shared" si="10"/>
        <v>id</v>
      </c>
      <c r="J72" s="27">
        <f t="shared" si="11"/>
        <v>5</v>
      </c>
      <c r="K72" s="1" t="str">
        <f t="shared" si="12"/>
        <v>DAVID</v>
      </c>
      <c r="L72" s="1" t="str">
        <f t="shared" si="13"/>
        <v>david</v>
      </c>
      <c r="M72" s="1" t="str">
        <f t="shared" si="14"/>
        <v>David</v>
      </c>
      <c r="N72" s="1" t="str">
        <f t="shared" si="15"/>
        <v>David - Finance</v>
      </c>
      <c r="O72" s="1" t="str">
        <f t="shared" si="16"/>
        <v>David  Finance</v>
      </c>
      <c r="P72" s="1" t="str">
        <f t="shared" si="17"/>
        <v>Dav</v>
      </c>
    </row>
    <row r="73" spans="1:16" x14ac:dyDescent="0.3">
      <c r="A73" s="1">
        <v>1072</v>
      </c>
      <c r="B73" s="1" t="s">
        <v>7</v>
      </c>
      <c r="C73" s="1" t="s">
        <v>8</v>
      </c>
      <c r="D73" s="1" t="s">
        <v>12</v>
      </c>
      <c r="E73" s="1">
        <v>68210</v>
      </c>
      <c r="F73" s="1">
        <v>7404</v>
      </c>
      <c r="G73" s="24">
        <v>7</v>
      </c>
      <c r="H73" s="27" t="str">
        <f t="shared" si="9"/>
        <v>Jo</v>
      </c>
      <c r="I73" s="28" t="str">
        <f t="shared" si="10"/>
        <v>hn</v>
      </c>
      <c r="J73" s="27">
        <f t="shared" si="11"/>
        <v>4</v>
      </c>
      <c r="K73" s="1" t="str">
        <f t="shared" si="12"/>
        <v>JOHN</v>
      </c>
      <c r="L73" s="1" t="str">
        <f t="shared" si="13"/>
        <v>john</v>
      </c>
      <c r="M73" s="1" t="str">
        <f t="shared" si="14"/>
        <v>John</v>
      </c>
      <c r="N73" s="1" t="str">
        <f t="shared" si="15"/>
        <v>John - IT</v>
      </c>
      <c r="O73" s="1" t="str">
        <f t="shared" si="16"/>
        <v>John  IT</v>
      </c>
      <c r="P73" s="1" t="str">
        <f t="shared" si="17"/>
        <v>Joh</v>
      </c>
    </row>
    <row r="74" spans="1:16" x14ac:dyDescent="0.3">
      <c r="A74" s="1">
        <v>1073</v>
      </c>
      <c r="B74" s="1" t="s">
        <v>32</v>
      </c>
      <c r="C74" s="1" t="s">
        <v>14</v>
      </c>
      <c r="D74" s="1" t="s">
        <v>15</v>
      </c>
      <c r="E74" s="1">
        <v>41885</v>
      </c>
      <c r="F74" s="1">
        <v>5581</v>
      </c>
      <c r="G74" s="24">
        <v>9</v>
      </c>
      <c r="H74" s="27" t="str">
        <f t="shared" si="9"/>
        <v>Po</v>
      </c>
      <c r="I74" s="28" t="str">
        <f t="shared" si="10"/>
        <v>ja</v>
      </c>
      <c r="J74" s="27">
        <f t="shared" si="11"/>
        <v>5</v>
      </c>
      <c r="K74" s="1" t="str">
        <f t="shared" si="12"/>
        <v>POOJA</v>
      </c>
      <c r="L74" s="1" t="str">
        <f t="shared" si="13"/>
        <v>pooja</v>
      </c>
      <c r="M74" s="1" t="str">
        <f t="shared" si="14"/>
        <v>Pooja</v>
      </c>
      <c r="N74" s="1" t="str">
        <f t="shared" si="15"/>
        <v>Pooja - HR</v>
      </c>
      <c r="O74" s="1" t="str">
        <f t="shared" si="16"/>
        <v>Pooja  HR</v>
      </c>
      <c r="P74" s="1" t="str">
        <f t="shared" si="17"/>
        <v>Poo</v>
      </c>
    </row>
    <row r="75" spans="1:16" x14ac:dyDescent="0.3">
      <c r="A75" s="1">
        <v>1074</v>
      </c>
      <c r="B75" s="1" t="s">
        <v>33</v>
      </c>
      <c r="C75" s="1" t="s">
        <v>14</v>
      </c>
      <c r="D75" s="1" t="s">
        <v>15</v>
      </c>
      <c r="E75" s="1">
        <v>46855</v>
      </c>
      <c r="F75" s="1">
        <v>9162</v>
      </c>
      <c r="G75" s="24">
        <v>5</v>
      </c>
      <c r="H75" s="27" t="str">
        <f t="shared" si="9"/>
        <v>Da</v>
      </c>
      <c r="I75" s="28" t="str">
        <f t="shared" si="10"/>
        <v>id</v>
      </c>
      <c r="J75" s="27">
        <f t="shared" si="11"/>
        <v>5</v>
      </c>
      <c r="K75" s="1" t="str">
        <f t="shared" si="12"/>
        <v>DAVID</v>
      </c>
      <c r="L75" s="1" t="str">
        <f t="shared" si="13"/>
        <v>david</v>
      </c>
      <c r="M75" s="1" t="str">
        <f t="shared" si="14"/>
        <v>David</v>
      </c>
      <c r="N75" s="1" t="str">
        <f t="shared" si="15"/>
        <v>David - HR</v>
      </c>
      <c r="O75" s="1" t="str">
        <f t="shared" si="16"/>
        <v>David  HR</v>
      </c>
      <c r="P75" s="1" t="str">
        <f t="shared" si="17"/>
        <v>Dav</v>
      </c>
    </row>
    <row r="76" spans="1:16" x14ac:dyDescent="0.3">
      <c r="A76" s="1">
        <v>1075</v>
      </c>
      <c r="B76" s="1" t="s">
        <v>23</v>
      </c>
      <c r="C76" s="1" t="s">
        <v>14</v>
      </c>
      <c r="D76" s="1" t="s">
        <v>12</v>
      </c>
      <c r="E76" s="1">
        <v>67656</v>
      </c>
      <c r="F76" s="1">
        <v>1218</v>
      </c>
      <c r="G76" s="24">
        <v>10</v>
      </c>
      <c r="H76" s="27" t="str">
        <f t="shared" si="9"/>
        <v>Va</v>
      </c>
      <c r="I76" s="28" t="str">
        <f t="shared" si="10"/>
        <v>un</v>
      </c>
      <c r="J76" s="27">
        <f t="shared" si="11"/>
        <v>5</v>
      </c>
      <c r="K76" s="1" t="str">
        <f t="shared" si="12"/>
        <v>VARUN</v>
      </c>
      <c r="L76" s="1" t="str">
        <f t="shared" si="13"/>
        <v>varun</v>
      </c>
      <c r="M76" s="1" t="str">
        <f t="shared" si="14"/>
        <v>Varun</v>
      </c>
      <c r="N76" s="1" t="str">
        <f t="shared" si="15"/>
        <v>Varun - HR</v>
      </c>
      <c r="O76" s="1" t="str">
        <f t="shared" si="16"/>
        <v>Varun  HR</v>
      </c>
      <c r="P76" s="1" t="str">
        <f t="shared" si="17"/>
        <v>Var</v>
      </c>
    </row>
    <row r="77" spans="1:16" x14ac:dyDescent="0.3">
      <c r="A77" s="1">
        <v>1076</v>
      </c>
      <c r="B77" s="1" t="s">
        <v>13</v>
      </c>
      <c r="C77" s="1" t="s">
        <v>11</v>
      </c>
      <c r="D77" s="1" t="s">
        <v>12</v>
      </c>
      <c r="E77" s="1">
        <v>69576</v>
      </c>
      <c r="F77" s="1">
        <v>7262</v>
      </c>
      <c r="G77" s="24">
        <v>5</v>
      </c>
      <c r="H77" s="27" t="str">
        <f t="shared" si="9"/>
        <v>Te</v>
      </c>
      <c r="I77" s="28" t="str">
        <f t="shared" si="10"/>
        <v>ja</v>
      </c>
      <c r="J77" s="27">
        <f t="shared" si="11"/>
        <v>4</v>
      </c>
      <c r="K77" s="1" t="str">
        <f t="shared" si="12"/>
        <v>TEJA</v>
      </c>
      <c r="L77" s="1" t="str">
        <f t="shared" si="13"/>
        <v>teja</v>
      </c>
      <c r="M77" s="1" t="str">
        <f t="shared" si="14"/>
        <v>Teja</v>
      </c>
      <c r="N77" s="1" t="str">
        <f t="shared" si="15"/>
        <v>Teja - Finance</v>
      </c>
      <c r="O77" s="1" t="str">
        <f t="shared" si="16"/>
        <v>Teja  Finance</v>
      </c>
      <c r="P77" s="1" t="str">
        <f t="shared" si="17"/>
        <v>Tej</v>
      </c>
    </row>
    <row r="78" spans="1:16" x14ac:dyDescent="0.3">
      <c r="A78" s="1">
        <v>1077</v>
      </c>
      <c r="B78" s="1" t="s">
        <v>18</v>
      </c>
      <c r="C78" s="1" t="s">
        <v>8</v>
      </c>
      <c r="D78" s="1" t="s">
        <v>12</v>
      </c>
      <c r="E78" s="1">
        <v>71754</v>
      </c>
      <c r="F78" s="1">
        <v>2979</v>
      </c>
      <c r="G78" s="24">
        <v>1</v>
      </c>
      <c r="H78" s="27" t="str">
        <f t="shared" si="9"/>
        <v>Ni</v>
      </c>
      <c r="I78" s="28" t="str">
        <f t="shared" si="10"/>
        <v>il</v>
      </c>
      <c r="J78" s="27">
        <f t="shared" si="11"/>
        <v>6</v>
      </c>
      <c r="K78" s="1" t="str">
        <f t="shared" si="12"/>
        <v>NIKHIL</v>
      </c>
      <c r="L78" s="1" t="str">
        <f t="shared" si="13"/>
        <v>nikhil</v>
      </c>
      <c r="M78" s="1" t="str">
        <f t="shared" si="14"/>
        <v>Nikhil</v>
      </c>
      <c r="N78" s="1" t="str">
        <f t="shared" si="15"/>
        <v>Nikhil - IT</v>
      </c>
      <c r="O78" s="1" t="str">
        <f t="shared" si="16"/>
        <v>Nikhil  IT</v>
      </c>
      <c r="P78" s="1" t="str">
        <f t="shared" si="17"/>
        <v>Nik</v>
      </c>
    </row>
    <row r="79" spans="1:16" x14ac:dyDescent="0.3">
      <c r="A79" s="1">
        <v>1078</v>
      </c>
      <c r="B79" s="1" t="s">
        <v>31</v>
      </c>
      <c r="C79" s="1" t="s">
        <v>11</v>
      </c>
      <c r="D79" s="1" t="s">
        <v>15</v>
      </c>
      <c r="E79" s="1">
        <v>73784</v>
      </c>
      <c r="F79" s="1">
        <v>7859</v>
      </c>
      <c r="G79" s="24">
        <v>10</v>
      </c>
      <c r="H79" s="27" t="str">
        <f t="shared" si="9"/>
        <v>Om</v>
      </c>
      <c r="I79" s="28" t="str">
        <f t="shared" si="10"/>
        <v>Om</v>
      </c>
      <c r="J79" s="27">
        <f t="shared" si="11"/>
        <v>2</v>
      </c>
      <c r="K79" s="1" t="str">
        <f t="shared" si="12"/>
        <v>OM</v>
      </c>
      <c r="L79" s="1" t="str">
        <f t="shared" si="13"/>
        <v>om</v>
      </c>
      <c r="M79" s="1" t="str">
        <f t="shared" si="14"/>
        <v>Om</v>
      </c>
      <c r="N79" s="1" t="str">
        <f t="shared" si="15"/>
        <v>Om - Finance</v>
      </c>
      <c r="O79" s="1" t="str">
        <f t="shared" si="16"/>
        <v>Om  Finance</v>
      </c>
      <c r="P79" s="1" t="str">
        <f t="shared" si="17"/>
        <v>Om</v>
      </c>
    </row>
    <row r="80" spans="1:16" x14ac:dyDescent="0.3">
      <c r="A80" s="1">
        <v>1079</v>
      </c>
      <c r="B80" s="1" t="s">
        <v>34</v>
      </c>
      <c r="C80" s="1" t="s">
        <v>19</v>
      </c>
      <c r="D80" s="1" t="s">
        <v>21</v>
      </c>
      <c r="E80" s="1">
        <v>26703</v>
      </c>
      <c r="F80" s="1">
        <v>7424</v>
      </c>
      <c r="G80" s="24">
        <v>7</v>
      </c>
      <c r="H80" s="27" t="str">
        <f t="shared" si="9"/>
        <v>Ar</v>
      </c>
      <c r="I80" s="28" t="str">
        <f t="shared" si="10"/>
        <v>un</v>
      </c>
      <c r="J80" s="27">
        <f t="shared" si="11"/>
        <v>4</v>
      </c>
      <c r="K80" s="1" t="str">
        <f t="shared" si="12"/>
        <v>ARUN</v>
      </c>
      <c r="L80" s="1" t="str">
        <f t="shared" si="13"/>
        <v>arun</v>
      </c>
      <c r="M80" s="1" t="str">
        <f t="shared" si="14"/>
        <v>Arun</v>
      </c>
      <c r="N80" s="1" t="str">
        <f t="shared" si="15"/>
        <v>Arun - Sales</v>
      </c>
      <c r="O80" s="1" t="str">
        <f t="shared" si="16"/>
        <v>Arun  Sales</v>
      </c>
      <c r="P80" s="1" t="str">
        <f t="shared" si="17"/>
        <v>Aru</v>
      </c>
    </row>
    <row r="81" spans="1:16" x14ac:dyDescent="0.3">
      <c r="A81" s="1">
        <v>1080</v>
      </c>
      <c r="B81" s="1" t="s">
        <v>25</v>
      </c>
      <c r="C81" s="1" t="s">
        <v>11</v>
      </c>
      <c r="D81" s="1" t="s">
        <v>15</v>
      </c>
      <c r="E81" s="1">
        <v>29509</v>
      </c>
      <c r="F81" s="1">
        <v>7481</v>
      </c>
      <c r="G81" s="24">
        <v>5</v>
      </c>
      <c r="H81" s="27" t="str">
        <f t="shared" si="9"/>
        <v>Sa</v>
      </c>
      <c r="I81" s="28" t="str">
        <f t="shared" si="10"/>
        <v>ra</v>
      </c>
      <c r="J81" s="27">
        <f t="shared" si="11"/>
        <v>4</v>
      </c>
      <c r="K81" s="1" t="str">
        <f t="shared" si="12"/>
        <v>SARA</v>
      </c>
      <c r="L81" s="1" t="str">
        <f t="shared" si="13"/>
        <v>sara</v>
      </c>
      <c r="M81" s="1" t="str">
        <f t="shared" si="14"/>
        <v>Sara</v>
      </c>
      <c r="N81" s="1" t="str">
        <f t="shared" si="15"/>
        <v>Sara - Finance</v>
      </c>
      <c r="O81" s="1" t="str">
        <f t="shared" si="16"/>
        <v>Sara  Finance</v>
      </c>
      <c r="P81" s="1" t="str">
        <f t="shared" si="17"/>
        <v>Sar</v>
      </c>
    </row>
    <row r="82" spans="1:16" x14ac:dyDescent="0.3">
      <c r="A82" s="1">
        <v>1081</v>
      </c>
      <c r="B82" s="1" t="s">
        <v>31</v>
      </c>
      <c r="C82" s="1" t="s">
        <v>19</v>
      </c>
      <c r="D82" s="1" t="s">
        <v>15</v>
      </c>
      <c r="E82" s="1">
        <v>73007</v>
      </c>
      <c r="F82" s="1">
        <v>6784</v>
      </c>
      <c r="G82" s="24">
        <v>3</v>
      </c>
      <c r="H82" s="27" t="str">
        <f t="shared" si="9"/>
        <v>Om</v>
      </c>
      <c r="I82" s="28" t="str">
        <f t="shared" si="10"/>
        <v>Om</v>
      </c>
      <c r="J82" s="27">
        <f t="shared" si="11"/>
        <v>2</v>
      </c>
      <c r="K82" s="1" t="str">
        <f t="shared" si="12"/>
        <v>OM</v>
      </c>
      <c r="L82" s="1" t="str">
        <f t="shared" si="13"/>
        <v>om</v>
      </c>
      <c r="M82" s="1" t="str">
        <f t="shared" si="14"/>
        <v>Om</v>
      </c>
      <c r="N82" s="1" t="str">
        <f t="shared" si="15"/>
        <v>Om - Sales</v>
      </c>
      <c r="O82" s="1" t="str">
        <f t="shared" si="16"/>
        <v>Om  Sales</v>
      </c>
      <c r="P82" s="1" t="str">
        <f t="shared" si="17"/>
        <v>Om</v>
      </c>
    </row>
    <row r="83" spans="1:16" x14ac:dyDescent="0.3">
      <c r="A83" s="1">
        <v>1082</v>
      </c>
      <c r="B83" s="1" t="s">
        <v>18</v>
      </c>
      <c r="C83" s="1" t="s">
        <v>14</v>
      </c>
      <c r="D83" s="1" t="s">
        <v>12</v>
      </c>
      <c r="E83" s="1">
        <v>57292</v>
      </c>
      <c r="F83" s="1">
        <v>3999</v>
      </c>
      <c r="G83" s="24">
        <v>2</v>
      </c>
      <c r="H83" s="27" t="str">
        <f t="shared" si="9"/>
        <v>Ni</v>
      </c>
      <c r="I83" s="28" t="str">
        <f t="shared" si="10"/>
        <v>il</v>
      </c>
      <c r="J83" s="27">
        <f t="shared" si="11"/>
        <v>6</v>
      </c>
      <c r="K83" s="1" t="str">
        <f t="shared" si="12"/>
        <v>NIKHIL</v>
      </c>
      <c r="L83" s="1" t="str">
        <f t="shared" si="13"/>
        <v>nikhil</v>
      </c>
      <c r="M83" s="1" t="str">
        <f t="shared" si="14"/>
        <v>Nikhil</v>
      </c>
      <c r="N83" s="1" t="str">
        <f t="shared" si="15"/>
        <v>Nikhil - HR</v>
      </c>
      <c r="O83" s="1" t="str">
        <f t="shared" si="16"/>
        <v>Nikhil  HR</v>
      </c>
      <c r="P83" s="1" t="str">
        <f t="shared" si="17"/>
        <v>Nik</v>
      </c>
    </row>
    <row r="84" spans="1:16" x14ac:dyDescent="0.3">
      <c r="A84" s="1">
        <v>1083</v>
      </c>
      <c r="B84" s="1" t="s">
        <v>30</v>
      </c>
      <c r="C84" s="1" t="s">
        <v>19</v>
      </c>
      <c r="D84" s="1" t="s">
        <v>21</v>
      </c>
      <c r="E84" s="1">
        <v>41275</v>
      </c>
      <c r="F84" s="1">
        <v>9081</v>
      </c>
      <c r="G84" s="24">
        <v>9</v>
      </c>
      <c r="H84" s="27" t="str">
        <f t="shared" si="9"/>
        <v>Ir</v>
      </c>
      <c r="I84" s="28" t="str">
        <f t="shared" si="10"/>
        <v>an</v>
      </c>
      <c r="J84" s="27">
        <f t="shared" si="11"/>
        <v>5</v>
      </c>
      <c r="K84" s="1" t="str">
        <f t="shared" si="12"/>
        <v>IRFAN</v>
      </c>
      <c r="L84" s="1" t="str">
        <f t="shared" si="13"/>
        <v>irfan</v>
      </c>
      <c r="M84" s="1" t="str">
        <f t="shared" si="14"/>
        <v>Irfan</v>
      </c>
      <c r="N84" s="1" t="str">
        <f t="shared" si="15"/>
        <v>Irfan - Sales</v>
      </c>
      <c r="O84" s="1" t="str">
        <f t="shared" si="16"/>
        <v>Irfan  Sales</v>
      </c>
      <c r="P84" s="1" t="str">
        <f t="shared" si="17"/>
        <v>Irf</v>
      </c>
    </row>
    <row r="85" spans="1:16" x14ac:dyDescent="0.3">
      <c r="A85" s="1">
        <v>1084</v>
      </c>
      <c r="B85" s="1" t="s">
        <v>22</v>
      </c>
      <c r="C85" s="1" t="s">
        <v>19</v>
      </c>
      <c r="D85" s="1" t="s">
        <v>9</v>
      </c>
      <c r="E85" s="1">
        <v>74986</v>
      </c>
      <c r="F85" s="1">
        <v>3129</v>
      </c>
      <c r="G85" s="24">
        <v>1</v>
      </c>
      <c r="H85" s="27" t="str">
        <f t="shared" si="9"/>
        <v>La</v>
      </c>
      <c r="I85" s="28" t="str">
        <f t="shared" si="10"/>
        <v>ha</v>
      </c>
      <c r="J85" s="27">
        <f t="shared" si="11"/>
        <v>5</v>
      </c>
      <c r="K85" s="1" t="str">
        <f t="shared" si="12"/>
        <v>LATHA</v>
      </c>
      <c r="L85" s="1" t="str">
        <f t="shared" si="13"/>
        <v>latha</v>
      </c>
      <c r="M85" s="1" t="str">
        <f t="shared" si="14"/>
        <v>Latha</v>
      </c>
      <c r="N85" s="1" t="str">
        <f t="shared" si="15"/>
        <v>Latha - Sales</v>
      </c>
      <c r="O85" s="1" t="str">
        <f t="shared" si="16"/>
        <v>Latha  Sales</v>
      </c>
      <c r="P85" s="1" t="str">
        <f t="shared" si="17"/>
        <v>Lat</v>
      </c>
    </row>
    <row r="86" spans="1:16" x14ac:dyDescent="0.3">
      <c r="A86" s="1">
        <v>1085</v>
      </c>
      <c r="B86" s="1" t="s">
        <v>18</v>
      </c>
      <c r="C86" s="1" t="s">
        <v>14</v>
      </c>
      <c r="D86" s="1" t="s">
        <v>15</v>
      </c>
      <c r="E86" s="1">
        <v>26328</v>
      </c>
      <c r="F86" s="1">
        <v>2713</v>
      </c>
      <c r="G86" s="24">
        <v>8</v>
      </c>
      <c r="H86" s="27" t="str">
        <f t="shared" si="9"/>
        <v>Ni</v>
      </c>
      <c r="I86" s="28" t="str">
        <f t="shared" si="10"/>
        <v>il</v>
      </c>
      <c r="J86" s="27">
        <f t="shared" si="11"/>
        <v>6</v>
      </c>
      <c r="K86" s="1" t="str">
        <f t="shared" si="12"/>
        <v>NIKHIL</v>
      </c>
      <c r="L86" s="1" t="str">
        <f t="shared" si="13"/>
        <v>nikhil</v>
      </c>
      <c r="M86" s="1" t="str">
        <f t="shared" si="14"/>
        <v>Nikhil</v>
      </c>
      <c r="N86" s="1" t="str">
        <f t="shared" si="15"/>
        <v>Nikhil - HR</v>
      </c>
      <c r="O86" s="1" t="str">
        <f t="shared" si="16"/>
        <v>Nikhil  HR</v>
      </c>
      <c r="P86" s="1" t="str">
        <f t="shared" si="17"/>
        <v>Nik</v>
      </c>
    </row>
    <row r="87" spans="1:16" x14ac:dyDescent="0.3">
      <c r="A87" s="1">
        <v>1086</v>
      </c>
      <c r="B87" s="1" t="s">
        <v>30</v>
      </c>
      <c r="C87" s="1" t="s">
        <v>19</v>
      </c>
      <c r="D87" s="1" t="s">
        <v>12</v>
      </c>
      <c r="E87" s="1">
        <v>64262</v>
      </c>
      <c r="F87" s="1">
        <v>5101</v>
      </c>
      <c r="G87" s="24">
        <v>8</v>
      </c>
      <c r="H87" s="27" t="str">
        <f t="shared" si="9"/>
        <v>Ir</v>
      </c>
      <c r="I87" s="28" t="str">
        <f t="shared" si="10"/>
        <v>an</v>
      </c>
      <c r="J87" s="27">
        <f t="shared" si="11"/>
        <v>5</v>
      </c>
      <c r="K87" s="1" t="str">
        <f t="shared" si="12"/>
        <v>IRFAN</v>
      </c>
      <c r="L87" s="1" t="str">
        <f t="shared" si="13"/>
        <v>irfan</v>
      </c>
      <c r="M87" s="1" t="str">
        <f t="shared" si="14"/>
        <v>Irfan</v>
      </c>
      <c r="N87" s="1" t="str">
        <f t="shared" si="15"/>
        <v>Irfan - Sales</v>
      </c>
      <c r="O87" s="1" t="str">
        <f t="shared" si="16"/>
        <v>Irfan  Sales</v>
      </c>
      <c r="P87" s="1" t="str">
        <f t="shared" si="17"/>
        <v>Irf</v>
      </c>
    </row>
    <row r="88" spans="1:16" x14ac:dyDescent="0.3">
      <c r="A88" s="1">
        <v>1087</v>
      </c>
      <c r="B88" s="1" t="s">
        <v>30</v>
      </c>
      <c r="C88" s="1" t="s">
        <v>14</v>
      </c>
      <c r="D88" s="1" t="s">
        <v>9</v>
      </c>
      <c r="E88" s="1">
        <v>35514</v>
      </c>
      <c r="F88" s="1">
        <v>7798</v>
      </c>
      <c r="G88" s="24">
        <v>8</v>
      </c>
      <c r="H88" s="27" t="str">
        <f t="shared" si="9"/>
        <v>Ir</v>
      </c>
      <c r="I88" s="28" t="str">
        <f t="shared" si="10"/>
        <v>an</v>
      </c>
      <c r="J88" s="27">
        <f t="shared" si="11"/>
        <v>5</v>
      </c>
      <c r="K88" s="1" t="str">
        <f t="shared" si="12"/>
        <v>IRFAN</v>
      </c>
      <c r="L88" s="1" t="str">
        <f t="shared" si="13"/>
        <v>irfan</v>
      </c>
      <c r="M88" s="1" t="str">
        <f t="shared" si="14"/>
        <v>Irfan</v>
      </c>
      <c r="N88" s="1" t="str">
        <f t="shared" si="15"/>
        <v>Irfan - HR</v>
      </c>
      <c r="O88" s="1" t="str">
        <f t="shared" si="16"/>
        <v>Irfan  HR</v>
      </c>
      <c r="P88" s="1" t="str">
        <f t="shared" si="17"/>
        <v>Irf</v>
      </c>
    </row>
    <row r="89" spans="1:16" x14ac:dyDescent="0.3">
      <c r="A89" s="1">
        <v>1088</v>
      </c>
      <c r="B89" s="1" t="s">
        <v>33</v>
      </c>
      <c r="C89" s="1" t="s">
        <v>11</v>
      </c>
      <c r="D89" s="1" t="s">
        <v>12</v>
      </c>
      <c r="E89" s="1">
        <v>33097</v>
      </c>
      <c r="F89" s="1">
        <v>3123</v>
      </c>
      <c r="G89" s="24">
        <v>7</v>
      </c>
      <c r="H89" s="27" t="str">
        <f t="shared" si="9"/>
        <v>Da</v>
      </c>
      <c r="I89" s="28" t="str">
        <f t="shared" si="10"/>
        <v>id</v>
      </c>
      <c r="J89" s="27">
        <f t="shared" si="11"/>
        <v>5</v>
      </c>
      <c r="K89" s="1" t="str">
        <f t="shared" si="12"/>
        <v>DAVID</v>
      </c>
      <c r="L89" s="1" t="str">
        <f t="shared" si="13"/>
        <v>david</v>
      </c>
      <c r="M89" s="1" t="str">
        <f t="shared" si="14"/>
        <v>David</v>
      </c>
      <c r="N89" s="1" t="str">
        <f t="shared" si="15"/>
        <v>David - Finance</v>
      </c>
      <c r="O89" s="1" t="str">
        <f t="shared" si="16"/>
        <v>David  Finance</v>
      </c>
      <c r="P89" s="1" t="str">
        <f t="shared" si="17"/>
        <v>Dav</v>
      </c>
    </row>
    <row r="90" spans="1:16" x14ac:dyDescent="0.3">
      <c r="A90" s="1">
        <v>1089</v>
      </c>
      <c r="B90" s="1" t="s">
        <v>27</v>
      </c>
      <c r="C90" s="1" t="s">
        <v>19</v>
      </c>
      <c r="D90" s="1" t="s">
        <v>15</v>
      </c>
      <c r="E90" s="1">
        <v>71262</v>
      </c>
      <c r="F90" s="1">
        <v>7439</v>
      </c>
      <c r="G90" s="24">
        <v>4</v>
      </c>
      <c r="H90" s="27" t="str">
        <f t="shared" si="9"/>
        <v>He</v>
      </c>
      <c r="I90" s="28" t="str">
        <f t="shared" si="10"/>
        <v>ma</v>
      </c>
      <c r="J90" s="27">
        <f t="shared" si="11"/>
        <v>4</v>
      </c>
      <c r="K90" s="1" t="str">
        <f t="shared" si="12"/>
        <v>HEMA</v>
      </c>
      <c r="L90" s="1" t="str">
        <f t="shared" si="13"/>
        <v>hema</v>
      </c>
      <c r="M90" s="1" t="str">
        <f t="shared" si="14"/>
        <v>Hema</v>
      </c>
      <c r="N90" s="1" t="str">
        <f t="shared" si="15"/>
        <v>Hema - Sales</v>
      </c>
      <c r="O90" s="1" t="str">
        <f t="shared" si="16"/>
        <v>Hema  Sales</v>
      </c>
      <c r="P90" s="1" t="str">
        <f t="shared" si="17"/>
        <v>Hem</v>
      </c>
    </row>
    <row r="91" spans="1:16" x14ac:dyDescent="0.3">
      <c r="A91" s="1">
        <v>1090</v>
      </c>
      <c r="B91" s="1" t="s">
        <v>25</v>
      </c>
      <c r="C91" s="1" t="s">
        <v>14</v>
      </c>
      <c r="D91" s="1" t="s">
        <v>15</v>
      </c>
      <c r="E91" s="1">
        <v>40271</v>
      </c>
      <c r="F91" s="1">
        <v>1664</v>
      </c>
      <c r="G91" s="24">
        <v>7</v>
      </c>
      <c r="H91" s="27" t="str">
        <f t="shared" si="9"/>
        <v>Sa</v>
      </c>
      <c r="I91" s="28" t="str">
        <f t="shared" si="10"/>
        <v>ra</v>
      </c>
      <c r="J91" s="27">
        <f t="shared" si="11"/>
        <v>4</v>
      </c>
      <c r="K91" s="1" t="str">
        <f t="shared" si="12"/>
        <v>SARA</v>
      </c>
      <c r="L91" s="1" t="str">
        <f t="shared" si="13"/>
        <v>sara</v>
      </c>
      <c r="M91" s="1" t="str">
        <f t="shared" si="14"/>
        <v>Sara</v>
      </c>
      <c r="N91" s="1" t="str">
        <f t="shared" si="15"/>
        <v>Sara - HR</v>
      </c>
      <c r="O91" s="1" t="str">
        <f t="shared" si="16"/>
        <v>Sara  HR</v>
      </c>
      <c r="P91" s="1" t="str">
        <f t="shared" si="17"/>
        <v>Sar</v>
      </c>
    </row>
    <row r="92" spans="1:16" x14ac:dyDescent="0.3">
      <c r="A92" s="1">
        <v>1091</v>
      </c>
      <c r="B92" s="1" t="s">
        <v>31</v>
      </c>
      <c r="C92" s="1" t="s">
        <v>14</v>
      </c>
      <c r="D92" s="1" t="s">
        <v>12</v>
      </c>
      <c r="E92" s="1">
        <v>79161</v>
      </c>
      <c r="F92" s="1">
        <v>5186</v>
      </c>
      <c r="G92" s="24">
        <v>9</v>
      </c>
      <c r="H92" s="27" t="str">
        <f t="shared" si="9"/>
        <v>Om</v>
      </c>
      <c r="I92" s="28" t="str">
        <f t="shared" si="10"/>
        <v>Om</v>
      </c>
      <c r="J92" s="27">
        <f t="shared" si="11"/>
        <v>2</v>
      </c>
      <c r="K92" s="1" t="str">
        <f t="shared" si="12"/>
        <v>OM</v>
      </c>
      <c r="L92" s="1" t="str">
        <f t="shared" si="13"/>
        <v>om</v>
      </c>
      <c r="M92" s="1" t="str">
        <f t="shared" si="14"/>
        <v>Om</v>
      </c>
      <c r="N92" s="1" t="str">
        <f t="shared" si="15"/>
        <v>Om - HR</v>
      </c>
      <c r="O92" s="1" t="str">
        <f t="shared" si="16"/>
        <v>Om  HR</v>
      </c>
      <c r="P92" s="1" t="str">
        <f t="shared" si="17"/>
        <v>Om</v>
      </c>
    </row>
    <row r="93" spans="1:16" x14ac:dyDescent="0.3">
      <c r="A93" s="1">
        <v>1092</v>
      </c>
      <c r="B93" s="1" t="s">
        <v>24</v>
      </c>
      <c r="C93" s="1" t="s">
        <v>11</v>
      </c>
      <c r="D93" s="1" t="s">
        <v>9</v>
      </c>
      <c r="E93" s="1">
        <v>29387</v>
      </c>
      <c r="F93" s="1">
        <v>7882</v>
      </c>
      <c r="G93" s="24">
        <v>1</v>
      </c>
      <c r="H93" s="27" t="str">
        <f t="shared" si="9"/>
        <v>Ba</v>
      </c>
      <c r="I93" s="28" t="str">
        <f t="shared" si="10"/>
        <v>la</v>
      </c>
      <c r="J93" s="27">
        <f t="shared" si="11"/>
        <v>4</v>
      </c>
      <c r="K93" s="1" t="str">
        <f t="shared" si="12"/>
        <v>BALA</v>
      </c>
      <c r="L93" s="1" t="str">
        <f t="shared" si="13"/>
        <v>bala</v>
      </c>
      <c r="M93" s="1" t="str">
        <f t="shared" si="14"/>
        <v>Bala</v>
      </c>
      <c r="N93" s="1" t="str">
        <f t="shared" si="15"/>
        <v>Bala - Finance</v>
      </c>
      <c r="O93" s="1" t="str">
        <f t="shared" si="16"/>
        <v>Bala  Finance</v>
      </c>
      <c r="P93" s="1" t="str">
        <f t="shared" si="17"/>
        <v>Bal</v>
      </c>
    </row>
    <row r="94" spans="1:16" x14ac:dyDescent="0.3">
      <c r="A94" s="1">
        <v>1093</v>
      </c>
      <c r="B94" s="1" t="s">
        <v>29</v>
      </c>
      <c r="C94" s="1" t="s">
        <v>8</v>
      </c>
      <c r="D94" s="1" t="s">
        <v>9</v>
      </c>
      <c r="E94" s="1">
        <v>26353</v>
      </c>
      <c r="F94" s="1">
        <v>6268</v>
      </c>
      <c r="G94" s="24">
        <v>8</v>
      </c>
      <c r="H94" s="27" t="str">
        <f t="shared" si="9"/>
        <v>Es</v>
      </c>
      <c r="I94" s="28" t="str">
        <f t="shared" si="10"/>
        <v>ha</v>
      </c>
      <c r="J94" s="27">
        <f t="shared" si="11"/>
        <v>4</v>
      </c>
      <c r="K94" s="1" t="str">
        <f t="shared" si="12"/>
        <v>ESHA</v>
      </c>
      <c r="L94" s="1" t="str">
        <f t="shared" si="13"/>
        <v>esha</v>
      </c>
      <c r="M94" s="1" t="str">
        <f t="shared" si="14"/>
        <v>Esha</v>
      </c>
      <c r="N94" s="1" t="str">
        <f t="shared" si="15"/>
        <v>Esha - IT</v>
      </c>
      <c r="O94" s="1" t="str">
        <f t="shared" si="16"/>
        <v>Esha  IT</v>
      </c>
      <c r="P94" s="1" t="str">
        <f t="shared" si="17"/>
        <v>Esh</v>
      </c>
    </row>
    <row r="95" spans="1:16" x14ac:dyDescent="0.3">
      <c r="A95" s="1">
        <v>1094</v>
      </c>
      <c r="B95" s="1" t="s">
        <v>23</v>
      </c>
      <c r="C95" s="1" t="s">
        <v>14</v>
      </c>
      <c r="D95" s="1" t="s">
        <v>21</v>
      </c>
      <c r="E95" s="1">
        <v>25298</v>
      </c>
      <c r="F95" s="1">
        <v>5540</v>
      </c>
      <c r="G95" s="24">
        <v>7</v>
      </c>
      <c r="H95" s="27" t="str">
        <f t="shared" si="9"/>
        <v>Va</v>
      </c>
      <c r="I95" s="28" t="str">
        <f t="shared" si="10"/>
        <v>un</v>
      </c>
      <c r="J95" s="27">
        <f t="shared" si="11"/>
        <v>5</v>
      </c>
      <c r="K95" s="1" t="str">
        <f t="shared" si="12"/>
        <v>VARUN</v>
      </c>
      <c r="L95" s="1" t="str">
        <f t="shared" si="13"/>
        <v>varun</v>
      </c>
      <c r="M95" s="1" t="str">
        <f t="shared" si="14"/>
        <v>Varun</v>
      </c>
      <c r="N95" s="1" t="str">
        <f t="shared" si="15"/>
        <v>Varun - HR</v>
      </c>
      <c r="O95" s="1" t="str">
        <f t="shared" si="16"/>
        <v>Varun  HR</v>
      </c>
      <c r="P95" s="1" t="str">
        <f t="shared" si="17"/>
        <v>Var</v>
      </c>
    </row>
    <row r="96" spans="1:16" x14ac:dyDescent="0.3">
      <c r="A96" s="1">
        <v>1095</v>
      </c>
      <c r="B96" s="1" t="s">
        <v>32</v>
      </c>
      <c r="C96" s="1" t="s">
        <v>19</v>
      </c>
      <c r="D96" s="1" t="s">
        <v>21</v>
      </c>
      <c r="E96" s="1">
        <v>23230</v>
      </c>
      <c r="F96" s="1">
        <v>5570</v>
      </c>
      <c r="G96" s="24">
        <v>3</v>
      </c>
      <c r="H96" s="27" t="str">
        <f t="shared" si="9"/>
        <v>Po</v>
      </c>
      <c r="I96" s="28" t="str">
        <f t="shared" si="10"/>
        <v>ja</v>
      </c>
      <c r="J96" s="27">
        <f t="shared" si="11"/>
        <v>5</v>
      </c>
      <c r="K96" s="1" t="str">
        <f t="shared" si="12"/>
        <v>POOJA</v>
      </c>
      <c r="L96" s="1" t="str">
        <f t="shared" si="13"/>
        <v>pooja</v>
      </c>
      <c r="M96" s="1" t="str">
        <f t="shared" si="14"/>
        <v>Pooja</v>
      </c>
      <c r="N96" s="1" t="str">
        <f t="shared" si="15"/>
        <v>Pooja - Sales</v>
      </c>
      <c r="O96" s="1" t="str">
        <f t="shared" si="16"/>
        <v>Pooja  Sales</v>
      </c>
      <c r="P96" s="1" t="str">
        <f t="shared" si="17"/>
        <v>Poo</v>
      </c>
    </row>
    <row r="97" spans="1:16" x14ac:dyDescent="0.3">
      <c r="A97" s="1">
        <v>1096</v>
      </c>
      <c r="B97" s="1" t="s">
        <v>31</v>
      </c>
      <c r="C97" s="1" t="s">
        <v>14</v>
      </c>
      <c r="D97" s="1" t="s">
        <v>9</v>
      </c>
      <c r="E97" s="1">
        <v>29456</v>
      </c>
      <c r="F97" s="1">
        <v>4321</v>
      </c>
      <c r="G97" s="24">
        <v>9</v>
      </c>
      <c r="H97" s="27" t="str">
        <f t="shared" si="9"/>
        <v>Om</v>
      </c>
      <c r="I97" s="28" t="str">
        <f t="shared" si="10"/>
        <v>Om</v>
      </c>
      <c r="J97" s="27">
        <f t="shared" si="11"/>
        <v>2</v>
      </c>
      <c r="K97" s="1" t="str">
        <f t="shared" si="12"/>
        <v>OM</v>
      </c>
      <c r="L97" s="1" t="str">
        <f t="shared" si="13"/>
        <v>om</v>
      </c>
      <c r="M97" s="1" t="str">
        <f t="shared" si="14"/>
        <v>Om</v>
      </c>
      <c r="N97" s="1" t="str">
        <f t="shared" si="15"/>
        <v>Om - HR</v>
      </c>
      <c r="O97" s="1" t="str">
        <f t="shared" si="16"/>
        <v>Om  HR</v>
      </c>
      <c r="P97" s="1" t="str">
        <f t="shared" si="17"/>
        <v>Om</v>
      </c>
    </row>
    <row r="98" spans="1:16" x14ac:dyDescent="0.3">
      <c r="A98" s="1">
        <v>1097</v>
      </c>
      <c r="B98" s="1" t="s">
        <v>22</v>
      </c>
      <c r="C98" s="1" t="s">
        <v>11</v>
      </c>
      <c r="D98" s="1" t="s">
        <v>9</v>
      </c>
      <c r="E98" s="1">
        <v>44707</v>
      </c>
      <c r="F98" s="1">
        <v>6435</v>
      </c>
      <c r="G98" s="24">
        <v>7</v>
      </c>
      <c r="H98" s="27" t="str">
        <f t="shared" si="9"/>
        <v>La</v>
      </c>
      <c r="I98" s="28" t="str">
        <f t="shared" si="10"/>
        <v>ha</v>
      </c>
      <c r="J98" s="27">
        <f t="shared" si="11"/>
        <v>5</v>
      </c>
      <c r="K98" s="1" t="str">
        <f t="shared" si="12"/>
        <v>LATHA</v>
      </c>
      <c r="L98" s="1" t="str">
        <f t="shared" si="13"/>
        <v>latha</v>
      </c>
      <c r="M98" s="1" t="str">
        <f t="shared" si="14"/>
        <v>Latha</v>
      </c>
      <c r="N98" s="1" t="str">
        <f t="shared" si="15"/>
        <v>Latha - Finance</v>
      </c>
      <c r="O98" s="1" t="str">
        <f t="shared" si="16"/>
        <v>Latha  Finance</v>
      </c>
      <c r="P98" s="1" t="str">
        <f t="shared" si="17"/>
        <v>Lat</v>
      </c>
    </row>
    <row r="99" spans="1:16" x14ac:dyDescent="0.3">
      <c r="A99" s="1">
        <v>1098</v>
      </c>
      <c r="B99" s="1" t="s">
        <v>16</v>
      </c>
      <c r="C99" s="1" t="s">
        <v>11</v>
      </c>
      <c r="D99" s="1" t="s">
        <v>12</v>
      </c>
      <c r="E99" s="1">
        <v>70947</v>
      </c>
      <c r="F99" s="1">
        <v>9984</v>
      </c>
      <c r="G99" s="24">
        <v>4</v>
      </c>
      <c r="H99" s="27" t="str">
        <f t="shared" si="9"/>
        <v>Fa</v>
      </c>
      <c r="I99" s="28" t="str">
        <f t="shared" si="10"/>
        <v>an</v>
      </c>
      <c r="J99" s="27">
        <f t="shared" si="11"/>
        <v>6</v>
      </c>
      <c r="K99" s="1" t="str">
        <f t="shared" si="12"/>
        <v>FARHAN</v>
      </c>
      <c r="L99" s="1" t="str">
        <f t="shared" si="13"/>
        <v>farhan</v>
      </c>
      <c r="M99" s="1" t="str">
        <f t="shared" si="14"/>
        <v>Farhan</v>
      </c>
      <c r="N99" s="1" t="str">
        <f t="shared" si="15"/>
        <v>Farhan - Finance</v>
      </c>
      <c r="O99" s="1" t="str">
        <f t="shared" si="16"/>
        <v>Farhan  Finance</v>
      </c>
      <c r="P99" s="1" t="str">
        <f t="shared" si="17"/>
        <v>Far</v>
      </c>
    </row>
    <row r="100" spans="1:16" x14ac:dyDescent="0.3">
      <c r="A100" s="1">
        <v>1099</v>
      </c>
      <c r="B100" s="1" t="s">
        <v>18</v>
      </c>
      <c r="C100" s="1" t="s">
        <v>14</v>
      </c>
      <c r="D100" s="1" t="s">
        <v>21</v>
      </c>
      <c r="E100" s="1">
        <v>36465</v>
      </c>
      <c r="F100" s="1">
        <v>4576</v>
      </c>
      <c r="G100" s="24">
        <v>10</v>
      </c>
      <c r="H100" s="27" t="str">
        <f t="shared" si="9"/>
        <v>Ni</v>
      </c>
      <c r="I100" s="28" t="str">
        <f t="shared" si="10"/>
        <v>il</v>
      </c>
      <c r="J100" s="27">
        <f t="shared" si="11"/>
        <v>6</v>
      </c>
      <c r="K100" s="1" t="str">
        <f t="shared" si="12"/>
        <v>NIKHIL</v>
      </c>
      <c r="L100" s="1" t="str">
        <f t="shared" si="13"/>
        <v>nikhil</v>
      </c>
      <c r="M100" s="1" t="str">
        <f t="shared" si="14"/>
        <v>Nikhil</v>
      </c>
      <c r="N100" s="1" t="str">
        <f t="shared" si="15"/>
        <v>Nikhil - HR</v>
      </c>
      <c r="O100" s="1" t="str">
        <f t="shared" si="16"/>
        <v>Nikhil  HR</v>
      </c>
      <c r="P100" s="1" t="str">
        <f t="shared" si="17"/>
        <v>Nik</v>
      </c>
    </row>
    <row r="101" spans="1:16" x14ac:dyDescent="0.3">
      <c r="A101" s="1">
        <v>1100</v>
      </c>
      <c r="B101" s="1" t="s">
        <v>25</v>
      </c>
      <c r="C101" s="1" t="s">
        <v>14</v>
      </c>
      <c r="D101" s="1" t="s">
        <v>21</v>
      </c>
      <c r="E101" s="1">
        <v>60782</v>
      </c>
      <c r="F101" s="1">
        <v>5399</v>
      </c>
      <c r="G101" s="24">
        <v>1</v>
      </c>
      <c r="H101" s="27" t="str">
        <f t="shared" si="9"/>
        <v>Sa</v>
      </c>
      <c r="I101" s="28" t="str">
        <f t="shared" si="10"/>
        <v>ra</v>
      </c>
      <c r="J101" s="27">
        <f t="shared" si="11"/>
        <v>4</v>
      </c>
      <c r="K101" s="1" t="str">
        <f t="shared" si="12"/>
        <v>SARA</v>
      </c>
      <c r="L101" s="1" t="str">
        <f t="shared" si="13"/>
        <v>sara</v>
      </c>
      <c r="M101" s="1" t="str">
        <f t="shared" si="14"/>
        <v>Sara</v>
      </c>
      <c r="N101" s="1" t="str">
        <f t="shared" si="15"/>
        <v>Sara - HR</v>
      </c>
      <c r="O101" s="1" t="str">
        <f t="shared" si="16"/>
        <v>Sara  HR</v>
      </c>
      <c r="P101" s="1" t="str">
        <f t="shared" si="17"/>
        <v>Sar</v>
      </c>
    </row>
    <row r="102" spans="1:16" x14ac:dyDescent="0.3">
      <c r="A102" s="1">
        <v>1101</v>
      </c>
      <c r="B102" s="1" t="s">
        <v>18</v>
      </c>
      <c r="C102" s="1" t="s">
        <v>8</v>
      </c>
      <c r="D102" s="1" t="s">
        <v>9</v>
      </c>
      <c r="E102" s="1">
        <v>69179</v>
      </c>
      <c r="F102" s="1">
        <v>8309</v>
      </c>
      <c r="G102" s="24">
        <v>9</v>
      </c>
      <c r="H102" s="27" t="str">
        <f t="shared" si="9"/>
        <v>Ni</v>
      </c>
      <c r="I102" s="28" t="str">
        <f t="shared" si="10"/>
        <v>il</v>
      </c>
      <c r="J102" s="27">
        <f t="shared" si="11"/>
        <v>6</v>
      </c>
      <c r="K102" s="1" t="str">
        <f t="shared" si="12"/>
        <v>NIKHIL</v>
      </c>
      <c r="L102" s="1" t="str">
        <f t="shared" si="13"/>
        <v>nikhil</v>
      </c>
      <c r="M102" s="1" t="str">
        <f t="shared" si="14"/>
        <v>Nikhil</v>
      </c>
      <c r="N102" s="1" t="str">
        <f t="shared" si="15"/>
        <v>Nikhil - IT</v>
      </c>
      <c r="O102" s="1" t="str">
        <f t="shared" si="16"/>
        <v>Nikhil  IT</v>
      </c>
      <c r="P102" s="1" t="str">
        <f t="shared" si="17"/>
        <v>Nik</v>
      </c>
    </row>
    <row r="103" spans="1:16" x14ac:dyDescent="0.3">
      <c r="A103" s="1">
        <v>1102</v>
      </c>
      <c r="B103" s="1" t="s">
        <v>24</v>
      </c>
      <c r="C103" s="1" t="s">
        <v>11</v>
      </c>
      <c r="D103" s="1" t="s">
        <v>21</v>
      </c>
      <c r="E103" s="1">
        <v>28278</v>
      </c>
      <c r="F103" s="1">
        <v>7093</v>
      </c>
      <c r="G103" s="24">
        <v>3</v>
      </c>
      <c r="H103" s="27" t="str">
        <f t="shared" si="9"/>
        <v>Ba</v>
      </c>
      <c r="I103" s="28" t="str">
        <f t="shared" si="10"/>
        <v>la</v>
      </c>
      <c r="J103" s="27">
        <f t="shared" si="11"/>
        <v>4</v>
      </c>
      <c r="K103" s="1" t="str">
        <f t="shared" si="12"/>
        <v>BALA</v>
      </c>
      <c r="L103" s="1" t="str">
        <f t="shared" si="13"/>
        <v>bala</v>
      </c>
      <c r="M103" s="1" t="str">
        <f t="shared" si="14"/>
        <v>Bala</v>
      </c>
      <c r="N103" s="1" t="str">
        <f t="shared" si="15"/>
        <v>Bala - Finance</v>
      </c>
      <c r="O103" s="1" t="str">
        <f t="shared" si="16"/>
        <v>Bala  Finance</v>
      </c>
      <c r="P103" s="1" t="str">
        <f t="shared" si="17"/>
        <v>Bal</v>
      </c>
    </row>
    <row r="104" spans="1:16" x14ac:dyDescent="0.3">
      <c r="A104" s="1">
        <v>1103</v>
      </c>
      <c r="B104" s="1" t="s">
        <v>17</v>
      </c>
      <c r="C104" s="1" t="s">
        <v>14</v>
      </c>
      <c r="D104" s="1" t="s">
        <v>15</v>
      </c>
      <c r="E104" s="1">
        <v>21588</v>
      </c>
      <c r="F104" s="1">
        <v>8420</v>
      </c>
      <c r="G104" s="24">
        <v>10</v>
      </c>
      <c r="H104" s="27" t="str">
        <f t="shared" si="9"/>
        <v>Ki</v>
      </c>
      <c r="I104" s="28" t="str">
        <f t="shared" si="10"/>
        <v>an</v>
      </c>
      <c r="J104" s="27">
        <f t="shared" si="11"/>
        <v>5</v>
      </c>
      <c r="K104" s="1" t="str">
        <f t="shared" si="12"/>
        <v>KIRAN</v>
      </c>
      <c r="L104" s="1" t="str">
        <f t="shared" si="13"/>
        <v>kiran</v>
      </c>
      <c r="M104" s="1" t="str">
        <f t="shared" si="14"/>
        <v>Kiran</v>
      </c>
      <c r="N104" s="1" t="str">
        <f t="shared" si="15"/>
        <v>Kiran - HR</v>
      </c>
      <c r="O104" s="1" t="str">
        <f t="shared" si="16"/>
        <v>Kiran  HR</v>
      </c>
      <c r="P104" s="1" t="str">
        <f t="shared" si="17"/>
        <v>Kir</v>
      </c>
    </row>
    <row r="105" spans="1:16" x14ac:dyDescent="0.3">
      <c r="A105" s="1">
        <v>1104</v>
      </c>
      <c r="B105" s="1" t="s">
        <v>7</v>
      </c>
      <c r="C105" s="1" t="s">
        <v>14</v>
      </c>
      <c r="D105" s="1" t="s">
        <v>15</v>
      </c>
      <c r="E105" s="1">
        <v>58257</v>
      </c>
      <c r="F105" s="1">
        <v>2551</v>
      </c>
      <c r="G105" s="24">
        <v>7</v>
      </c>
      <c r="H105" s="27" t="str">
        <f t="shared" si="9"/>
        <v>Jo</v>
      </c>
      <c r="I105" s="28" t="str">
        <f t="shared" si="10"/>
        <v>hn</v>
      </c>
      <c r="J105" s="27">
        <f t="shared" si="11"/>
        <v>4</v>
      </c>
      <c r="K105" s="1" t="str">
        <f t="shared" si="12"/>
        <v>JOHN</v>
      </c>
      <c r="L105" s="1" t="str">
        <f t="shared" si="13"/>
        <v>john</v>
      </c>
      <c r="M105" s="1" t="str">
        <f t="shared" si="14"/>
        <v>John</v>
      </c>
      <c r="N105" s="1" t="str">
        <f t="shared" si="15"/>
        <v>John - HR</v>
      </c>
      <c r="O105" s="1" t="str">
        <f t="shared" si="16"/>
        <v>John  HR</v>
      </c>
      <c r="P105" s="1" t="str">
        <f t="shared" si="17"/>
        <v>Joh</v>
      </c>
    </row>
    <row r="106" spans="1:16" x14ac:dyDescent="0.3">
      <c r="A106" s="1">
        <v>1105</v>
      </c>
      <c r="B106" s="1" t="s">
        <v>20</v>
      </c>
      <c r="C106" s="1" t="s">
        <v>14</v>
      </c>
      <c r="D106" s="1" t="s">
        <v>12</v>
      </c>
      <c r="E106" s="1">
        <v>35113</v>
      </c>
      <c r="F106" s="1">
        <v>6766</v>
      </c>
      <c r="G106" s="24">
        <v>6</v>
      </c>
      <c r="H106" s="27" t="str">
        <f t="shared" si="9"/>
        <v>Gi</v>
      </c>
      <c r="I106" s="28" t="str">
        <f t="shared" si="10"/>
        <v>ri</v>
      </c>
      <c r="J106" s="27">
        <f t="shared" si="11"/>
        <v>4</v>
      </c>
      <c r="K106" s="1" t="str">
        <f t="shared" si="12"/>
        <v>GIRI</v>
      </c>
      <c r="L106" s="1" t="str">
        <f t="shared" si="13"/>
        <v>giri</v>
      </c>
      <c r="M106" s="1" t="str">
        <f t="shared" si="14"/>
        <v>Giri</v>
      </c>
      <c r="N106" s="1" t="str">
        <f t="shared" si="15"/>
        <v>Giri - HR</v>
      </c>
      <c r="O106" s="1" t="str">
        <f t="shared" si="16"/>
        <v>Giri  HR</v>
      </c>
      <c r="P106" s="1" t="str">
        <f t="shared" si="17"/>
        <v>Gir</v>
      </c>
    </row>
    <row r="107" spans="1:16" x14ac:dyDescent="0.3">
      <c r="A107" s="1">
        <v>1106</v>
      </c>
      <c r="B107" s="1" t="s">
        <v>28</v>
      </c>
      <c r="C107" s="1" t="s">
        <v>11</v>
      </c>
      <c r="D107" s="1" t="s">
        <v>21</v>
      </c>
      <c r="E107" s="1">
        <v>39364</v>
      </c>
      <c r="F107" s="1">
        <v>5237</v>
      </c>
      <c r="G107" s="24">
        <v>7</v>
      </c>
      <c r="H107" s="27" t="str">
        <f t="shared" si="9"/>
        <v>Ra</v>
      </c>
      <c r="I107" s="28" t="str">
        <f t="shared" si="10"/>
        <v>vi</v>
      </c>
      <c r="J107" s="27">
        <f t="shared" si="11"/>
        <v>4</v>
      </c>
      <c r="K107" s="1" t="str">
        <f t="shared" si="12"/>
        <v>RAVI</v>
      </c>
      <c r="L107" s="1" t="str">
        <f t="shared" si="13"/>
        <v>ravi</v>
      </c>
      <c r="M107" s="1" t="str">
        <f t="shared" si="14"/>
        <v>Ravi</v>
      </c>
      <c r="N107" s="1" t="str">
        <f t="shared" si="15"/>
        <v>Ravi - Finance</v>
      </c>
      <c r="O107" s="1" t="str">
        <f t="shared" si="16"/>
        <v>Ravi  Finance</v>
      </c>
      <c r="P107" s="1" t="str">
        <f t="shared" si="17"/>
        <v>Rav</v>
      </c>
    </row>
    <row r="108" spans="1:16" x14ac:dyDescent="0.3">
      <c r="A108" s="1">
        <v>1107</v>
      </c>
      <c r="B108" s="1" t="s">
        <v>24</v>
      </c>
      <c r="C108" s="1" t="s">
        <v>19</v>
      </c>
      <c r="D108" s="1" t="s">
        <v>21</v>
      </c>
      <c r="E108" s="1">
        <v>20025</v>
      </c>
      <c r="F108" s="1">
        <v>9889</v>
      </c>
      <c r="G108" s="24">
        <v>6</v>
      </c>
      <c r="H108" s="27" t="str">
        <f t="shared" si="9"/>
        <v>Ba</v>
      </c>
      <c r="I108" s="28" t="str">
        <f t="shared" si="10"/>
        <v>la</v>
      </c>
      <c r="J108" s="27">
        <f t="shared" si="11"/>
        <v>4</v>
      </c>
      <c r="K108" s="1" t="str">
        <f t="shared" si="12"/>
        <v>BALA</v>
      </c>
      <c r="L108" s="1" t="str">
        <f t="shared" si="13"/>
        <v>bala</v>
      </c>
      <c r="M108" s="1" t="str">
        <f t="shared" si="14"/>
        <v>Bala</v>
      </c>
      <c r="N108" s="1" t="str">
        <f t="shared" si="15"/>
        <v>Bala - Sales</v>
      </c>
      <c r="O108" s="1" t="str">
        <f t="shared" si="16"/>
        <v>Bala  Sales</v>
      </c>
      <c r="P108" s="1" t="str">
        <f t="shared" si="17"/>
        <v>Bal</v>
      </c>
    </row>
    <row r="109" spans="1:16" x14ac:dyDescent="0.3">
      <c r="A109" s="1">
        <v>1108</v>
      </c>
      <c r="B109" s="1" t="s">
        <v>27</v>
      </c>
      <c r="C109" s="1" t="s">
        <v>19</v>
      </c>
      <c r="D109" s="1" t="s">
        <v>12</v>
      </c>
      <c r="E109" s="1">
        <v>32604</v>
      </c>
      <c r="F109" s="1">
        <v>9062</v>
      </c>
      <c r="G109" s="24">
        <v>1</v>
      </c>
      <c r="H109" s="27" t="str">
        <f t="shared" si="9"/>
        <v>He</v>
      </c>
      <c r="I109" s="28" t="str">
        <f t="shared" si="10"/>
        <v>ma</v>
      </c>
      <c r="J109" s="27">
        <f t="shared" si="11"/>
        <v>4</v>
      </c>
      <c r="K109" s="1" t="str">
        <f t="shared" si="12"/>
        <v>HEMA</v>
      </c>
      <c r="L109" s="1" t="str">
        <f t="shared" si="13"/>
        <v>hema</v>
      </c>
      <c r="M109" s="1" t="str">
        <f t="shared" si="14"/>
        <v>Hema</v>
      </c>
      <c r="N109" s="1" t="str">
        <f t="shared" si="15"/>
        <v>Hema - Sales</v>
      </c>
      <c r="O109" s="1" t="str">
        <f t="shared" si="16"/>
        <v>Hema  Sales</v>
      </c>
      <c r="P109" s="1" t="str">
        <f t="shared" si="17"/>
        <v>Hem</v>
      </c>
    </row>
    <row r="110" spans="1:16" x14ac:dyDescent="0.3">
      <c r="A110" s="1">
        <v>1109</v>
      </c>
      <c r="B110" s="1" t="s">
        <v>31</v>
      </c>
      <c r="C110" s="1" t="s">
        <v>19</v>
      </c>
      <c r="D110" s="1" t="s">
        <v>21</v>
      </c>
      <c r="E110" s="1">
        <v>20876</v>
      </c>
      <c r="F110" s="1">
        <v>4076</v>
      </c>
      <c r="G110" s="24">
        <v>8</v>
      </c>
      <c r="H110" s="27" t="str">
        <f t="shared" si="9"/>
        <v>Om</v>
      </c>
      <c r="I110" s="28" t="str">
        <f t="shared" si="10"/>
        <v>Om</v>
      </c>
      <c r="J110" s="27">
        <f t="shared" si="11"/>
        <v>2</v>
      </c>
      <c r="K110" s="1" t="str">
        <f t="shared" si="12"/>
        <v>OM</v>
      </c>
      <c r="L110" s="1" t="str">
        <f t="shared" si="13"/>
        <v>om</v>
      </c>
      <c r="M110" s="1" t="str">
        <f t="shared" si="14"/>
        <v>Om</v>
      </c>
      <c r="N110" s="1" t="str">
        <f t="shared" si="15"/>
        <v>Om - Sales</v>
      </c>
      <c r="O110" s="1" t="str">
        <f t="shared" si="16"/>
        <v>Om  Sales</v>
      </c>
      <c r="P110" s="1" t="str">
        <f t="shared" si="17"/>
        <v>Om</v>
      </c>
    </row>
    <row r="111" spans="1:16" x14ac:dyDescent="0.3">
      <c r="A111" s="1">
        <v>1110</v>
      </c>
      <c r="B111" s="1" t="s">
        <v>31</v>
      </c>
      <c r="C111" s="1" t="s">
        <v>14</v>
      </c>
      <c r="D111" s="1" t="s">
        <v>12</v>
      </c>
      <c r="E111" s="1">
        <v>56776</v>
      </c>
      <c r="F111" s="1">
        <v>1203</v>
      </c>
      <c r="G111" s="24">
        <v>10</v>
      </c>
      <c r="H111" s="27" t="str">
        <f t="shared" si="9"/>
        <v>Om</v>
      </c>
      <c r="I111" s="28" t="str">
        <f t="shared" si="10"/>
        <v>Om</v>
      </c>
      <c r="J111" s="27">
        <f t="shared" si="11"/>
        <v>2</v>
      </c>
      <c r="K111" s="1" t="str">
        <f t="shared" si="12"/>
        <v>OM</v>
      </c>
      <c r="L111" s="1" t="str">
        <f t="shared" si="13"/>
        <v>om</v>
      </c>
      <c r="M111" s="1" t="str">
        <f t="shared" si="14"/>
        <v>Om</v>
      </c>
      <c r="N111" s="1" t="str">
        <f t="shared" si="15"/>
        <v>Om - HR</v>
      </c>
      <c r="O111" s="1" t="str">
        <f t="shared" si="16"/>
        <v>Om  HR</v>
      </c>
      <c r="P111" s="1" t="str">
        <f t="shared" si="17"/>
        <v>Om</v>
      </c>
    </row>
    <row r="112" spans="1:16" x14ac:dyDescent="0.3">
      <c r="A112" s="1">
        <v>1111</v>
      </c>
      <c r="B112" s="1" t="s">
        <v>10</v>
      </c>
      <c r="C112" s="1" t="s">
        <v>19</v>
      </c>
      <c r="D112" s="1" t="s">
        <v>12</v>
      </c>
      <c r="E112" s="1">
        <v>23817</v>
      </c>
      <c r="F112" s="1">
        <v>6841</v>
      </c>
      <c r="G112" s="24">
        <v>1</v>
      </c>
      <c r="H112" s="27" t="str">
        <f t="shared" si="9"/>
        <v>Me</v>
      </c>
      <c r="I112" s="28" t="str">
        <f t="shared" si="10"/>
        <v>na</v>
      </c>
      <c r="J112" s="27">
        <f t="shared" si="11"/>
        <v>5</v>
      </c>
      <c r="K112" s="1" t="str">
        <f t="shared" si="12"/>
        <v>MEENA</v>
      </c>
      <c r="L112" s="1" t="str">
        <f t="shared" si="13"/>
        <v>meena</v>
      </c>
      <c r="M112" s="1" t="str">
        <f t="shared" si="14"/>
        <v>Meena</v>
      </c>
      <c r="N112" s="1" t="str">
        <f t="shared" si="15"/>
        <v>Meena - Sales</v>
      </c>
      <c r="O112" s="1" t="str">
        <f t="shared" si="16"/>
        <v>Meena  Sales</v>
      </c>
      <c r="P112" s="1" t="str">
        <f t="shared" si="17"/>
        <v>Mee</v>
      </c>
    </row>
    <row r="113" spans="1:16" x14ac:dyDescent="0.3">
      <c r="A113" s="1">
        <v>1112</v>
      </c>
      <c r="B113" s="1" t="s">
        <v>28</v>
      </c>
      <c r="C113" s="1" t="s">
        <v>14</v>
      </c>
      <c r="D113" s="1" t="s">
        <v>9</v>
      </c>
      <c r="E113" s="1">
        <v>30085</v>
      </c>
      <c r="F113" s="1">
        <v>1516</v>
      </c>
      <c r="G113" s="24">
        <v>10</v>
      </c>
      <c r="H113" s="27" t="str">
        <f t="shared" si="9"/>
        <v>Ra</v>
      </c>
      <c r="I113" s="28" t="str">
        <f t="shared" si="10"/>
        <v>vi</v>
      </c>
      <c r="J113" s="27">
        <f t="shared" si="11"/>
        <v>4</v>
      </c>
      <c r="K113" s="1" t="str">
        <f t="shared" si="12"/>
        <v>RAVI</v>
      </c>
      <c r="L113" s="1" t="str">
        <f t="shared" si="13"/>
        <v>ravi</v>
      </c>
      <c r="M113" s="1" t="str">
        <f t="shared" si="14"/>
        <v>Ravi</v>
      </c>
      <c r="N113" s="1" t="str">
        <f t="shared" si="15"/>
        <v>Ravi - HR</v>
      </c>
      <c r="O113" s="1" t="str">
        <f t="shared" si="16"/>
        <v>Ravi  HR</v>
      </c>
      <c r="P113" s="1" t="str">
        <f t="shared" si="17"/>
        <v>Rav</v>
      </c>
    </row>
    <row r="114" spans="1:16" x14ac:dyDescent="0.3">
      <c r="A114" s="1">
        <v>1113</v>
      </c>
      <c r="B114" s="1" t="s">
        <v>34</v>
      </c>
      <c r="C114" s="1" t="s">
        <v>8</v>
      </c>
      <c r="D114" s="1" t="s">
        <v>12</v>
      </c>
      <c r="E114" s="1">
        <v>78637</v>
      </c>
      <c r="F114" s="1">
        <v>9118</v>
      </c>
      <c r="G114" s="24">
        <v>4</v>
      </c>
      <c r="H114" s="27" t="str">
        <f t="shared" si="9"/>
        <v>Ar</v>
      </c>
      <c r="I114" s="28" t="str">
        <f t="shared" si="10"/>
        <v>un</v>
      </c>
      <c r="J114" s="27">
        <f t="shared" si="11"/>
        <v>4</v>
      </c>
      <c r="K114" s="1" t="str">
        <f t="shared" si="12"/>
        <v>ARUN</v>
      </c>
      <c r="L114" s="1" t="str">
        <f t="shared" si="13"/>
        <v>arun</v>
      </c>
      <c r="M114" s="1" t="str">
        <f t="shared" si="14"/>
        <v>Arun</v>
      </c>
      <c r="N114" s="1" t="str">
        <f t="shared" si="15"/>
        <v>Arun - IT</v>
      </c>
      <c r="O114" s="1" t="str">
        <f t="shared" si="16"/>
        <v>Arun  IT</v>
      </c>
      <c r="P114" s="1" t="str">
        <f t="shared" si="17"/>
        <v>Aru</v>
      </c>
    </row>
    <row r="115" spans="1:16" x14ac:dyDescent="0.3">
      <c r="A115" s="1">
        <v>1114</v>
      </c>
      <c r="B115" s="1" t="s">
        <v>27</v>
      </c>
      <c r="C115" s="1" t="s">
        <v>14</v>
      </c>
      <c r="D115" s="1" t="s">
        <v>12</v>
      </c>
      <c r="E115" s="1">
        <v>78931</v>
      </c>
      <c r="F115" s="1">
        <v>1218</v>
      </c>
      <c r="G115" s="24">
        <v>3</v>
      </c>
      <c r="H115" s="27" t="str">
        <f t="shared" si="9"/>
        <v>He</v>
      </c>
      <c r="I115" s="28" t="str">
        <f t="shared" si="10"/>
        <v>ma</v>
      </c>
      <c r="J115" s="27">
        <f t="shared" si="11"/>
        <v>4</v>
      </c>
      <c r="K115" s="1" t="str">
        <f t="shared" si="12"/>
        <v>HEMA</v>
      </c>
      <c r="L115" s="1" t="str">
        <f t="shared" si="13"/>
        <v>hema</v>
      </c>
      <c r="M115" s="1" t="str">
        <f t="shared" si="14"/>
        <v>Hema</v>
      </c>
      <c r="N115" s="1" t="str">
        <f t="shared" si="15"/>
        <v>Hema - HR</v>
      </c>
      <c r="O115" s="1" t="str">
        <f t="shared" si="16"/>
        <v>Hema  HR</v>
      </c>
      <c r="P115" s="1" t="str">
        <f t="shared" si="17"/>
        <v>Hem</v>
      </c>
    </row>
    <row r="116" spans="1:16" x14ac:dyDescent="0.3">
      <c r="A116" s="1">
        <v>1115</v>
      </c>
      <c r="B116" s="1" t="s">
        <v>10</v>
      </c>
      <c r="C116" s="1" t="s">
        <v>19</v>
      </c>
      <c r="D116" s="1" t="s">
        <v>15</v>
      </c>
      <c r="E116" s="1">
        <v>29392</v>
      </c>
      <c r="F116" s="1">
        <v>8527</v>
      </c>
      <c r="G116" s="24">
        <v>5</v>
      </c>
      <c r="H116" s="27" t="str">
        <f t="shared" si="9"/>
        <v>Me</v>
      </c>
      <c r="I116" s="28" t="str">
        <f t="shared" si="10"/>
        <v>na</v>
      </c>
      <c r="J116" s="27">
        <f t="shared" si="11"/>
        <v>5</v>
      </c>
      <c r="K116" s="1" t="str">
        <f t="shared" si="12"/>
        <v>MEENA</v>
      </c>
      <c r="L116" s="1" t="str">
        <f t="shared" si="13"/>
        <v>meena</v>
      </c>
      <c r="M116" s="1" t="str">
        <f t="shared" si="14"/>
        <v>Meena</v>
      </c>
      <c r="N116" s="1" t="str">
        <f t="shared" si="15"/>
        <v>Meena - Sales</v>
      </c>
      <c r="O116" s="1" t="str">
        <f t="shared" si="16"/>
        <v>Meena  Sales</v>
      </c>
      <c r="P116" s="1" t="str">
        <f t="shared" si="17"/>
        <v>Mee</v>
      </c>
    </row>
    <row r="117" spans="1:16" x14ac:dyDescent="0.3">
      <c r="A117" s="1">
        <v>1116</v>
      </c>
      <c r="B117" s="1" t="s">
        <v>22</v>
      </c>
      <c r="C117" s="1" t="s">
        <v>14</v>
      </c>
      <c r="D117" s="1" t="s">
        <v>15</v>
      </c>
      <c r="E117" s="1">
        <v>28276</v>
      </c>
      <c r="F117" s="1">
        <v>5914</v>
      </c>
      <c r="G117" s="24">
        <v>4</v>
      </c>
      <c r="H117" s="27" t="str">
        <f t="shared" si="9"/>
        <v>La</v>
      </c>
      <c r="I117" s="28" t="str">
        <f t="shared" si="10"/>
        <v>ha</v>
      </c>
      <c r="J117" s="27">
        <f t="shared" si="11"/>
        <v>5</v>
      </c>
      <c r="K117" s="1" t="str">
        <f t="shared" si="12"/>
        <v>LATHA</v>
      </c>
      <c r="L117" s="1" t="str">
        <f t="shared" si="13"/>
        <v>latha</v>
      </c>
      <c r="M117" s="1" t="str">
        <f t="shared" si="14"/>
        <v>Latha</v>
      </c>
      <c r="N117" s="1" t="str">
        <f t="shared" si="15"/>
        <v>Latha - HR</v>
      </c>
      <c r="O117" s="1" t="str">
        <f t="shared" si="16"/>
        <v>Latha  HR</v>
      </c>
      <c r="P117" s="1" t="str">
        <f t="shared" si="17"/>
        <v>Lat</v>
      </c>
    </row>
    <row r="118" spans="1:16" x14ac:dyDescent="0.3">
      <c r="A118" s="1">
        <v>1117</v>
      </c>
      <c r="B118" s="1" t="s">
        <v>26</v>
      </c>
      <c r="C118" s="1" t="s">
        <v>8</v>
      </c>
      <c r="D118" s="1" t="s">
        <v>9</v>
      </c>
      <c r="E118" s="1">
        <v>38807</v>
      </c>
      <c r="F118" s="1">
        <v>9823</v>
      </c>
      <c r="G118" s="24">
        <v>3</v>
      </c>
      <c r="H118" s="27" t="str">
        <f t="shared" si="9"/>
        <v>Ch</v>
      </c>
      <c r="I118" s="28" t="str">
        <f t="shared" si="10"/>
        <v>an</v>
      </c>
      <c r="J118" s="27">
        <f t="shared" si="11"/>
        <v>6</v>
      </c>
      <c r="K118" s="1" t="str">
        <f t="shared" si="12"/>
        <v>CHARAN</v>
      </c>
      <c r="L118" s="1" t="str">
        <f t="shared" si="13"/>
        <v>charan</v>
      </c>
      <c r="M118" s="1" t="str">
        <f t="shared" si="14"/>
        <v>Charan</v>
      </c>
      <c r="N118" s="1" t="str">
        <f t="shared" si="15"/>
        <v>Charan - IT</v>
      </c>
      <c r="O118" s="1" t="str">
        <f t="shared" si="16"/>
        <v>Charan  IT</v>
      </c>
      <c r="P118" s="1" t="str">
        <f t="shared" si="17"/>
        <v>Cha</v>
      </c>
    </row>
    <row r="119" spans="1:16" x14ac:dyDescent="0.3">
      <c r="A119" s="1">
        <v>1118</v>
      </c>
      <c r="B119" s="1" t="s">
        <v>13</v>
      </c>
      <c r="C119" s="1" t="s">
        <v>19</v>
      </c>
      <c r="D119" s="1" t="s">
        <v>21</v>
      </c>
      <c r="E119" s="1">
        <v>33487</v>
      </c>
      <c r="F119" s="1">
        <v>4839</v>
      </c>
      <c r="G119" s="24">
        <v>2</v>
      </c>
      <c r="H119" s="27" t="str">
        <f t="shared" si="9"/>
        <v>Te</v>
      </c>
      <c r="I119" s="28" t="str">
        <f t="shared" si="10"/>
        <v>ja</v>
      </c>
      <c r="J119" s="27">
        <f t="shared" si="11"/>
        <v>4</v>
      </c>
      <c r="K119" s="1" t="str">
        <f t="shared" si="12"/>
        <v>TEJA</v>
      </c>
      <c r="L119" s="1" t="str">
        <f t="shared" si="13"/>
        <v>teja</v>
      </c>
      <c r="M119" s="1" t="str">
        <f t="shared" si="14"/>
        <v>Teja</v>
      </c>
      <c r="N119" s="1" t="str">
        <f t="shared" si="15"/>
        <v>Teja - Sales</v>
      </c>
      <c r="O119" s="1" t="str">
        <f t="shared" si="16"/>
        <v>Teja  Sales</v>
      </c>
      <c r="P119" s="1" t="str">
        <f t="shared" si="17"/>
        <v>Tej</v>
      </c>
    </row>
    <row r="120" spans="1:16" x14ac:dyDescent="0.3">
      <c r="A120" s="1">
        <v>1119</v>
      </c>
      <c r="B120" s="1" t="s">
        <v>29</v>
      </c>
      <c r="C120" s="1" t="s">
        <v>19</v>
      </c>
      <c r="D120" s="1" t="s">
        <v>9</v>
      </c>
      <c r="E120" s="1">
        <v>25317</v>
      </c>
      <c r="F120" s="1">
        <v>4802</v>
      </c>
      <c r="G120" s="24">
        <v>6</v>
      </c>
      <c r="H120" s="27" t="str">
        <f t="shared" si="9"/>
        <v>Es</v>
      </c>
      <c r="I120" s="28" t="str">
        <f t="shared" si="10"/>
        <v>ha</v>
      </c>
      <c r="J120" s="27">
        <f t="shared" si="11"/>
        <v>4</v>
      </c>
      <c r="K120" s="1" t="str">
        <f t="shared" si="12"/>
        <v>ESHA</v>
      </c>
      <c r="L120" s="1" t="str">
        <f t="shared" si="13"/>
        <v>esha</v>
      </c>
      <c r="M120" s="1" t="str">
        <f t="shared" si="14"/>
        <v>Esha</v>
      </c>
      <c r="N120" s="1" t="str">
        <f t="shared" si="15"/>
        <v>Esha - Sales</v>
      </c>
      <c r="O120" s="1" t="str">
        <f t="shared" si="16"/>
        <v>Esha  Sales</v>
      </c>
      <c r="P120" s="1" t="str">
        <f t="shared" si="17"/>
        <v>Esh</v>
      </c>
    </row>
    <row r="121" spans="1:16" x14ac:dyDescent="0.3">
      <c r="A121" s="1">
        <v>1120</v>
      </c>
      <c r="B121" s="1" t="s">
        <v>28</v>
      </c>
      <c r="C121" s="1" t="s">
        <v>8</v>
      </c>
      <c r="D121" s="1" t="s">
        <v>9</v>
      </c>
      <c r="E121" s="1">
        <v>28287</v>
      </c>
      <c r="F121" s="1">
        <v>8969</v>
      </c>
      <c r="G121" s="24">
        <v>7</v>
      </c>
      <c r="H121" s="27" t="str">
        <f t="shared" si="9"/>
        <v>Ra</v>
      </c>
      <c r="I121" s="28" t="str">
        <f t="shared" si="10"/>
        <v>vi</v>
      </c>
      <c r="J121" s="27">
        <f t="shared" si="11"/>
        <v>4</v>
      </c>
      <c r="K121" s="1" t="str">
        <f t="shared" si="12"/>
        <v>RAVI</v>
      </c>
      <c r="L121" s="1" t="str">
        <f t="shared" si="13"/>
        <v>ravi</v>
      </c>
      <c r="M121" s="1" t="str">
        <f t="shared" si="14"/>
        <v>Ravi</v>
      </c>
      <c r="N121" s="1" t="str">
        <f t="shared" si="15"/>
        <v>Ravi - IT</v>
      </c>
      <c r="O121" s="1" t="str">
        <f t="shared" si="16"/>
        <v>Ravi  IT</v>
      </c>
      <c r="P121" s="1" t="str">
        <f t="shared" si="17"/>
        <v>Rav</v>
      </c>
    </row>
    <row r="122" spans="1:16" x14ac:dyDescent="0.3">
      <c r="A122" s="1">
        <v>1121</v>
      </c>
      <c r="B122" s="1" t="s">
        <v>29</v>
      </c>
      <c r="C122" s="1" t="s">
        <v>19</v>
      </c>
      <c r="D122" s="1" t="s">
        <v>21</v>
      </c>
      <c r="E122" s="1">
        <v>35399</v>
      </c>
      <c r="F122" s="1">
        <v>9317</v>
      </c>
      <c r="G122" s="24">
        <v>8</v>
      </c>
      <c r="H122" s="27" t="str">
        <f t="shared" si="9"/>
        <v>Es</v>
      </c>
      <c r="I122" s="28" t="str">
        <f t="shared" si="10"/>
        <v>ha</v>
      </c>
      <c r="J122" s="27">
        <f t="shared" si="11"/>
        <v>4</v>
      </c>
      <c r="K122" s="1" t="str">
        <f t="shared" si="12"/>
        <v>ESHA</v>
      </c>
      <c r="L122" s="1" t="str">
        <f t="shared" si="13"/>
        <v>esha</v>
      </c>
      <c r="M122" s="1" t="str">
        <f t="shared" si="14"/>
        <v>Esha</v>
      </c>
      <c r="N122" s="1" t="str">
        <f t="shared" si="15"/>
        <v>Esha - Sales</v>
      </c>
      <c r="O122" s="1" t="str">
        <f t="shared" si="16"/>
        <v>Esha  Sales</v>
      </c>
      <c r="P122" s="1" t="str">
        <f t="shared" si="17"/>
        <v>Esh</v>
      </c>
    </row>
    <row r="123" spans="1:16" x14ac:dyDescent="0.3">
      <c r="A123" s="1">
        <v>1122</v>
      </c>
      <c r="B123" s="1" t="s">
        <v>24</v>
      </c>
      <c r="C123" s="1" t="s">
        <v>14</v>
      </c>
      <c r="D123" s="1" t="s">
        <v>15</v>
      </c>
      <c r="E123" s="1">
        <v>46599</v>
      </c>
      <c r="F123" s="1">
        <v>4074</v>
      </c>
      <c r="G123" s="24">
        <v>10</v>
      </c>
      <c r="H123" s="27" t="str">
        <f t="shared" si="9"/>
        <v>Ba</v>
      </c>
      <c r="I123" s="28" t="str">
        <f t="shared" si="10"/>
        <v>la</v>
      </c>
      <c r="J123" s="27">
        <f t="shared" si="11"/>
        <v>4</v>
      </c>
      <c r="K123" s="1" t="str">
        <f t="shared" si="12"/>
        <v>BALA</v>
      </c>
      <c r="L123" s="1" t="str">
        <f t="shared" si="13"/>
        <v>bala</v>
      </c>
      <c r="M123" s="1" t="str">
        <f t="shared" si="14"/>
        <v>Bala</v>
      </c>
      <c r="N123" s="1" t="str">
        <f t="shared" si="15"/>
        <v>Bala - HR</v>
      </c>
      <c r="O123" s="1" t="str">
        <f t="shared" si="16"/>
        <v>Bala  HR</v>
      </c>
      <c r="P123" s="1" t="str">
        <f t="shared" si="17"/>
        <v>Bal</v>
      </c>
    </row>
    <row r="124" spans="1:16" x14ac:dyDescent="0.3">
      <c r="A124" s="1">
        <v>1123</v>
      </c>
      <c r="B124" s="1" t="s">
        <v>20</v>
      </c>
      <c r="C124" s="1" t="s">
        <v>11</v>
      </c>
      <c r="D124" s="1" t="s">
        <v>12</v>
      </c>
      <c r="E124" s="1">
        <v>59734</v>
      </c>
      <c r="F124" s="1">
        <v>3246</v>
      </c>
      <c r="G124" s="24">
        <v>5</v>
      </c>
      <c r="H124" s="27" t="str">
        <f t="shared" si="9"/>
        <v>Gi</v>
      </c>
      <c r="I124" s="28" t="str">
        <f t="shared" si="10"/>
        <v>ri</v>
      </c>
      <c r="J124" s="27">
        <f t="shared" si="11"/>
        <v>4</v>
      </c>
      <c r="K124" s="1" t="str">
        <f t="shared" si="12"/>
        <v>GIRI</v>
      </c>
      <c r="L124" s="1" t="str">
        <f t="shared" si="13"/>
        <v>giri</v>
      </c>
      <c r="M124" s="1" t="str">
        <f t="shared" si="14"/>
        <v>Giri</v>
      </c>
      <c r="N124" s="1" t="str">
        <f t="shared" si="15"/>
        <v>Giri - Finance</v>
      </c>
      <c r="O124" s="1" t="str">
        <f t="shared" si="16"/>
        <v>Giri  Finance</v>
      </c>
      <c r="P124" s="1" t="str">
        <f t="shared" si="17"/>
        <v>Gir</v>
      </c>
    </row>
    <row r="125" spans="1:16" x14ac:dyDescent="0.3">
      <c r="A125" s="1">
        <v>1124</v>
      </c>
      <c r="B125" s="1" t="s">
        <v>22</v>
      </c>
      <c r="C125" s="1" t="s">
        <v>8</v>
      </c>
      <c r="D125" s="1" t="s">
        <v>12</v>
      </c>
      <c r="E125" s="1">
        <v>25152</v>
      </c>
      <c r="F125" s="1">
        <v>5992</v>
      </c>
      <c r="G125" s="24">
        <v>1</v>
      </c>
      <c r="H125" s="27" t="str">
        <f t="shared" si="9"/>
        <v>La</v>
      </c>
      <c r="I125" s="28" t="str">
        <f t="shared" si="10"/>
        <v>ha</v>
      </c>
      <c r="J125" s="27">
        <f t="shared" si="11"/>
        <v>5</v>
      </c>
      <c r="K125" s="1" t="str">
        <f t="shared" si="12"/>
        <v>LATHA</v>
      </c>
      <c r="L125" s="1" t="str">
        <f t="shared" si="13"/>
        <v>latha</v>
      </c>
      <c r="M125" s="1" t="str">
        <f t="shared" si="14"/>
        <v>Latha</v>
      </c>
      <c r="N125" s="1" t="str">
        <f t="shared" si="15"/>
        <v>Latha - IT</v>
      </c>
      <c r="O125" s="1" t="str">
        <f t="shared" si="16"/>
        <v>Latha  IT</v>
      </c>
      <c r="P125" s="1" t="str">
        <f t="shared" si="17"/>
        <v>Lat</v>
      </c>
    </row>
    <row r="126" spans="1:16" x14ac:dyDescent="0.3">
      <c r="A126" s="1">
        <v>1125</v>
      </c>
      <c r="B126" s="1" t="s">
        <v>32</v>
      </c>
      <c r="C126" s="1" t="s">
        <v>11</v>
      </c>
      <c r="D126" s="1" t="s">
        <v>21</v>
      </c>
      <c r="E126" s="1">
        <v>38456</v>
      </c>
      <c r="F126" s="1">
        <v>2384</v>
      </c>
      <c r="G126" s="24">
        <v>9</v>
      </c>
      <c r="H126" s="27" t="str">
        <f t="shared" si="9"/>
        <v>Po</v>
      </c>
      <c r="I126" s="28" t="str">
        <f t="shared" si="10"/>
        <v>ja</v>
      </c>
      <c r="J126" s="27">
        <f t="shared" si="11"/>
        <v>5</v>
      </c>
      <c r="K126" s="1" t="str">
        <f t="shared" si="12"/>
        <v>POOJA</v>
      </c>
      <c r="L126" s="1" t="str">
        <f t="shared" si="13"/>
        <v>pooja</v>
      </c>
      <c r="M126" s="1" t="str">
        <f t="shared" si="14"/>
        <v>Pooja</v>
      </c>
      <c r="N126" s="1" t="str">
        <f t="shared" si="15"/>
        <v>Pooja - Finance</v>
      </c>
      <c r="O126" s="1" t="str">
        <f t="shared" si="16"/>
        <v>Pooja  Finance</v>
      </c>
      <c r="P126" s="1" t="str">
        <f t="shared" si="17"/>
        <v>Poo</v>
      </c>
    </row>
    <row r="127" spans="1:16" x14ac:dyDescent="0.3">
      <c r="A127" s="1">
        <v>1126</v>
      </c>
      <c r="B127" s="1" t="s">
        <v>13</v>
      </c>
      <c r="C127" s="1" t="s">
        <v>11</v>
      </c>
      <c r="D127" s="1" t="s">
        <v>15</v>
      </c>
      <c r="E127" s="1">
        <v>71495</v>
      </c>
      <c r="F127" s="1">
        <v>5935</v>
      </c>
      <c r="G127" s="24">
        <v>5</v>
      </c>
      <c r="H127" s="27" t="str">
        <f t="shared" si="9"/>
        <v>Te</v>
      </c>
      <c r="I127" s="28" t="str">
        <f t="shared" si="10"/>
        <v>ja</v>
      </c>
      <c r="J127" s="27">
        <f t="shared" si="11"/>
        <v>4</v>
      </c>
      <c r="K127" s="1" t="str">
        <f t="shared" si="12"/>
        <v>TEJA</v>
      </c>
      <c r="L127" s="1" t="str">
        <f t="shared" si="13"/>
        <v>teja</v>
      </c>
      <c r="M127" s="1" t="str">
        <f t="shared" si="14"/>
        <v>Teja</v>
      </c>
      <c r="N127" s="1" t="str">
        <f t="shared" si="15"/>
        <v>Teja - Finance</v>
      </c>
      <c r="O127" s="1" t="str">
        <f t="shared" si="16"/>
        <v>Teja  Finance</v>
      </c>
      <c r="P127" s="1" t="str">
        <f t="shared" si="17"/>
        <v>Tej</v>
      </c>
    </row>
    <row r="128" spans="1:16" x14ac:dyDescent="0.3">
      <c r="A128" s="1">
        <v>1127</v>
      </c>
      <c r="B128" s="1" t="s">
        <v>20</v>
      </c>
      <c r="C128" s="1" t="s">
        <v>8</v>
      </c>
      <c r="D128" s="1" t="s">
        <v>9</v>
      </c>
      <c r="E128" s="1">
        <v>77769</v>
      </c>
      <c r="F128" s="1">
        <v>1746</v>
      </c>
      <c r="G128" s="24">
        <v>9</v>
      </c>
      <c r="H128" s="27" t="str">
        <f t="shared" si="9"/>
        <v>Gi</v>
      </c>
      <c r="I128" s="28" t="str">
        <f t="shared" si="10"/>
        <v>ri</v>
      </c>
      <c r="J128" s="27">
        <f t="shared" si="11"/>
        <v>4</v>
      </c>
      <c r="K128" s="1" t="str">
        <f t="shared" si="12"/>
        <v>GIRI</v>
      </c>
      <c r="L128" s="1" t="str">
        <f t="shared" si="13"/>
        <v>giri</v>
      </c>
      <c r="M128" s="1" t="str">
        <f t="shared" si="14"/>
        <v>Giri</v>
      </c>
      <c r="N128" s="1" t="str">
        <f t="shared" si="15"/>
        <v>Giri - IT</v>
      </c>
      <c r="O128" s="1" t="str">
        <f t="shared" si="16"/>
        <v>Giri  IT</v>
      </c>
      <c r="P128" s="1" t="str">
        <f t="shared" si="17"/>
        <v>Gir</v>
      </c>
    </row>
    <row r="129" spans="1:16" x14ac:dyDescent="0.3">
      <c r="A129" s="1">
        <v>1128</v>
      </c>
      <c r="B129" s="1" t="s">
        <v>7</v>
      </c>
      <c r="C129" s="1" t="s">
        <v>8</v>
      </c>
      <c r="D129" s="1" t="s">
        <v>9</v>
      </c>
      <c r="E129" s="1">
        <v>31202</v>
      </c>
      <c r="F129" s="1">
        <v>6127</v>
      </c>
      <c r="G129" s="24">
        <v>4</v>
      </c>
      <c r="H129" s="27" t="str">
        <f t="shared" si="9"/>
        <v>Jo</v>
      </c>
      <c r="I129" s="28" t="str">
        <f t="shared" si="10"/>
        <v>hn</v>
      </c>
      <c r="J129" s="27">
        <f t="shared" si="11"/>
        <v>4</v>
      </c>
      <c r="K129" s="1" t="str">
        <f t="shared" si="12"/>
        <v>JOHN</v>
      </c>
      <c r="L129" s="1" t="str">
        <f t="shared" si="13"/>
        <v>john</v>
      </c>
      <c r="M129" s="1" t="str">
        <f t="shared" si="14"/>
        <v>John</v>
      </c>
      <c r="N129" s="1" t="str">
        <f t="shared" si="15"/>
        <v>John - IT</v>
      </c>
      <c r="O129" s="1" t="str">
        <f t="shared" si="16"/>
        <v>John  IT</v>
      </c>
      <c r="P129" s="1" t="str">
        <f t="shared" si="17"/>
        <v>Joh</v>
      </c>
    </row>
    <row r="130" spans="1:16" x14ac:dyDescent="0.3">
      <c r="A130" s="1">
        <v>1129</v>
      </c>
      <c r="B130" s="1" t="s">
        <v>30</v>
      </c>
      <c r="C130" s="1" t="s">
        <v>11</v>
      </c>
      <c r="D130" s="1" t="s">
        <v>12</v>
      </c>
      <c r="E130" s="1">
        <v>32732</v>
      </c>
      <c r="F130" s="1">
        <v>7132</v>
      </c>
      <c r="G130" s="24">
        <v>2</v>
      </c>
      <c r="H130" s="27" t="str">
        <f t="shared" si="9"/>
        <v>Ir</v>
      </c>
      <c r="I130" s="28" t="str">
        <f t="shared" si="10"/>
        <v>an</v>
      </c>
      <c r="J130" s="27">
        <f t="shared" si="11"/>
        <v>5</v>
      </c>
      <c r="K130" s="1" t="str">
        <f t="shared" si="12"/>
        <v>IRFAN</v>
      </c>
      <c r="L130" s="1" t="str">
        <f t="shared" si="13"/>
        <v>irfan</v>
      </c>
      <c r="M130" s="1" t="str">
        <f t="shared" si="14"/>
        <v>Irfan</v>
      </c>
      <c r="N130" s="1" t="str">
        <f t="shared" si="15"/>
        <v>Irfan - Finance</v>
      </c>
      <c r="O130" s="1" t="str">
        <f t="shared" si="16"/>
        <v>Irfan  Finance</v>
      </c>
      <c r="P130" s="1" t="str">
        <f t="shared" si="17"/>
        <v>Irf</v>
      </c>
    </row>
    <row r="131" spans="1:16" x14ac:dyDescent="0.3">
      <c r="A131" s="1">
        <v>1130</v>
      </c>
      <c r="B131" s="1" t="s">
        <v>32</v>
      </c>
      <c r="C131" s="1" t="s">
        <v>11</v>
      </c>
      <c r="D131" s="1" t="s">
        <v>9</v>
      </c>
      <c r="E131" s="1">
        <v>62701</v>
      </c>
      <c r="F131" s="1">
        <v>9881</v>
      </c>
      <c r="G131" s="24">
        <v>6</v>
      </c>
      <c r="H131" s="27" t="str">
        <f t="shared" ref="H131:H194" si="18">LEFT(B131,2)</f>
        <v>Po</v>
      </c>
      <c r="I131" s="28" t="str">
        <f t="shared" ref="I131:I194" si="19">RIGHT(B131,2)</f>
        <v>ja</v>
      </c>
      <c r="J131" s="27">
        <f t="shared" ref="J131:J194" si="20">LEN(B131)</f>
        <v>5</v>
      </c>
      <c r="K131" s="1" t="str">
        <f t="shared" ref="K131:K194" si="21">UPPER(B131)</f>
        <v>POOJA</v>
      </c>
      <c r="L131" s="1" t="str">
        <f t="shared" ref="L131:L194" si="22">LOWER(B131)</f>
        <v>pooja</v>
      </c>
      <c r="M131" s="1" t="str">
        <f t="shared" ref="M131:M194" si="23">TRIM(B131)</f>
        <v>Pooja</v>
      </c>
      <c r="N131" s="1" t="str">
        <f t="shared" ref="N131:N194" si="24">_xlfn.CONCAT(B131,  " - ", C131)</f>
        <v>Pooja - Finance</v>
      </c>
      <c r="O131" s="1" t="str">
        <f t="shared" ref="O131:O194" si="25">SUBSTITUTE(N131," -", " ")</f>
        <v>Pooja  Finance</v>
      </c>
      <c r="P131" s="1" t="str">
        <f t="shared" ref="P131:P194" si="26">MID(B131,1,3)</f>
        <v>Poo</v>
      </c>
    </row>
    <row r="132" spans="1:16" x14ac:dyDescent="0.3">
      <c r="A132" s="1">
        <v>1131</v>
      </c>
      <c r="B132" s="1" t="s">
        <v>24</v>
      </c>
      <c r="C132" s="1" t="s">
        <v>14</v>
      </c>
      <c r="D132" s="1" t="s">
        <v>9</v>
      </c>
      <c r="E132" s="1">
        <v>43824</v>
      </c>
      <c r="F132" s="1">
        <v>3196</v>
      </c>
      <c r="G132" s="24">
        <v>2</v>
      </c>
      <c r="H132" s="27" t="str">
        <f t="shared" si="18"/>
        <v>Ba</v>
      </c>
      <c r="I132" s="28" t="str">
        <f t="shared" si="19"/>
        <v>la</v>
      </c>
      <c r="J132" s="27">
        <f t="shared" si="20"/>
        <v>4</v>
      </c>
      <c r="K132" s="1" t="str">
        <f t="shared" si="21"/>
        <v>BALA</v>
      </c>
      <c r="L132" s="1" t="str">
        <f t="shared" si="22"/>
        <v>bala</v>
      </c>
      <c r="M132" s="1" t="str">
        <f t="shared" si="23"/>
        <v>Bala</v>
      </c>
      <c r="N132" s="1" t="str">
        <f t="shared" si="24"/>
        <v>Bala - HR</v>
      </c>
      <c r="O132" s="1" t="str">
        <f t="shared" si="25"/>
        <v>Bala  HR</v>
      </c>
      <c r="P132" s="1" t="str">
        <f t="shared" si="26"/>
        <v>Bal</v>
      </c>
    </row>
    <row r="133" spans="1:16" x14ac:dyDescent="0.3">
      <c r="A133" s="1">
        <v>1132</v>
      </c>
      <c r="B133" s="1" t="s">
        <v>13</v>
      </c>
      <c r="C133" s="1" t="s">
        <v>8</v>
      </c>
      <c r="D133" s="1" t="s">
        <v>9</v>
      </c>
      <c r="E133" s="1">
        <v>70362</v>
      </c>
      <c r="F133" s="1">
        <v>5310</v>
      </c>
      <c r="G133" s="24">
        <v>6</v>
      </c>
      <c r="H133" s="27" t="str">
        <f t="shared" si="18"/>
        <v>Te</v>
      </c>
      <c r="I133" s="28" t="str">
        <f t="shared" si="19"/>
        <v>ja</v>
      </c>
      <c r="J133" s="27">
        <f t="shared" si="20"/>
        <v>4</v>
      </c>
      <c r="K133" s="1" t="str">
        <f t="shared" si="21"/>
        <v>TEJA</v>
      </c>
      <c r="L133" s="1" t="str">
        <f t="shared" si="22"/>
        <v>teja</v>
      </c>
      <c r="M133" s="1" t="str">
        <f t="shared" si="23"/>
        <v>Teja</v>
      </c>
      <c r="N133" s="1" t="str">
        <f t="shared" si="24"/>
        <v>Teja - IT</v>
      </c>
      <c r="O133" s="1" t="str">
        <f t="shared" si="25"/>
        <v>Teja  IT</v>
      </c>
      <c r="P133" s="1" t="str">
        <f t="shared" si="26"/>
        <v>Tej</v>
      </c>
    </row>
    <row r="134" spans="1:16" x14ac:dyDescent="0.3">
      <c r="A134" s="1">
        <v>1133</v>
      </c>
      <c r="B134" s="1" t="s">
        <v>18</v>
      </c>
      <c r="C134" s="1" t="s">
        <v>19</v>
      </c>
      <c r="D134" s="1" t="s">
        <v>9</v>
      </c>
      <c r="E134" s="1">
        <v>66281</v>
      </c>
      <c r="F134" s="1">
        <v>9057</v>
      </c>
      <c r="G134" s="24">
        <v>9</v>
      </c>
      <c r="H134" s="27" t="str">
        <f t="shared" si="18"/>
        <v>Ni</v>
      </c>
      <c r="I134" s="28" t="str">
        <f t="shared" si="19"/>
        <v>il</v>
      </c>
      <c r="J134" s="27">
        <f t="shared" si="20"/>
        <v>6</v>
      </c>
      <c r="K134" s="1" t="str">
        <f t="shared" si="21"/>
        <v>NIKHIL</v>
      </c>
      <c r="L134" s="1" t="str">
        <f t="shared" si="22"/>
        <v>nikhil</v>
      </c>
      <c r="M134" s="1" t="str">
        <f t="shared" si="23"/>
        <v>Nikhil</v>
      </c>
      <c r="N134" s="1" t="str">
        <f t="shared" si="24"/>
        <v>Nikhil - Sales</v>
      </c>
      <c r="O134" s="1" t="str">
        <f t="shared" si="25"/>
        <v>Nikhil  Sales</v>
      </c>
      <c r="P134" s="1" t="str">
        <f t="shared" si="26"/>
        <v>Nik</v>
      </c>
    </row>
    <row r="135" spans="1:16" x14ac:dyDescent="0.3">
      <c r="A135" s="1">
        <v>1134</v>
      </c>
      <c r="B135" s="1" t="s">
        <v>20</v>
      </c>
      <c r="C135" s="1" t="s">
        <v>11</v>
      </c>
      <c r="D135" s="1" t="s">
        <v>15</v>
      </c>
      <c r="E135" s="1">
        <v>62150</v>
      </c>
      <c r="F135" s="1">
        <v>5194</v>
      </c>
      <c r="G135" s="24">
        <v>5</v>
      </c>
      <c r="H135" s="27" t="str">
        <f t="shared" si="18"/>
        <v>Gi</v>
      </c>
      <c r="I135" s="28" t="str">
        <f t="shared" si="19"/>
        <v>ri</v>
      </c>
      <c r="J135" s="27">
        <f t="shared" si="20"/>
        <v>4</v>
      </c>
      <c r="K135" s="1" t="str">
        <f t="shared" si="21"/>
        <v>GIRI</v>
      </c>
      <c r="L135" s="1" t="str">
        <f t="shared" si="22"/>
        <v>giri</v>
      </c>
      <c r="M135" s="1" t="str">
        <f t="shared" si="23"/>
        <v>Giri</v>
      </c>
      <c r="N135" s="1" t="str">
        <f t="shared" si="24"/>
        <v>Giri - Finance</v>
      </c>
      <c r="O135" s="1" t="str">
        <f t="shared" si="25"/>
        <v>Giri  Finance</v>
      </c>
      <c r="P135" s="1" t="str">
        <f t="shared" si="26"/>
        <v>Gir</v>
      </c>
    </row>
    <row r="136" spans="1:16" x14ac:dyDescent="0.3">
      <c r="A136" s="1">
        <v>1135</v>
      </c>
      <c r="B136" s="1" t="s">
        <v>29</v>
      </c>
      <c r="C136" s="1" t="s">
        <v>14</v>
      </c>
      <c r="D136" s="1" t="s">
        <v>15</v>
      </c>
      <c r="E136" s="1">
        <v>68466</v>
      </c>
      <c r="F136" s="1">
        <v>7926</v>
      </c>
      <c r="G136" s="24">
        <v>6</v>
      </c>
      <c r="H136" s="27" t="str">
        <f t="shared" si="18"/>
        <v>Es</v>
      </c>
      <c r="I136" s="28" t="str">
        <f t="shared" si="19"/>
        <v>ha</v>
      </c>
      <c r="J136" s="27">
        <f t="shared" si="20"/>
        <v>4</v>
      </c>
      <c r="K136" s="1" t="str">
        <f t="shared" si="21"/>
        <v>ESHA</v>
      </c>
      <c r="L136" s="1" t="str">
        <f t="shared" si="22"/>
        <v>esha</v>
      </c>
      <c r="M136" s="1" t="str">
        <f t="shared" si="23"/>
        <v>Esha</v>
      </c>
      <c r="N136" s="1" t="str">
        <f t="shared" si="24"/>
        <v>Esha - HR</v>
      </c>
      <c r="O136" s="1" t="str">
        <f t="shared" si="25"/>
        <v>Esha  HR</v>
      </c>
      <c r="P136" s="1" t="str">
        <f t="shared" si="26"/>
        <v>Esh</v>
      </c>
    </row>
    <row r="137" spans="1:16" x14ac:dyDescent="0.3">
      <c r="A137" s="1">
        <v>1136</v>
      </c>
      <c r="B137" s="1" t="s">
        <v>24</v>
      </c>
      <c r="C137" s="1" t="s">
        <v>11</v>
      </c>
      <c r="D137" s="1" t="s">
        <v>12</v>
      </c>
      <c r="E137" s="1">
        <v>35905</v>
      </c>
      <c r="F137" s="1">
        <v>8168</v>
      </c>
      <c r="G137" s="24">
        <v>5</v>
      </c>
      <c r="H137" s="27" t="str">
        <f t="shared" si="18"/>
        <v>Ba</v>
      </c>
      <c r="I137" s="28" t="str">
        <f t="shared" si="19"/>
        <v>la</v>
      </c>
      <c r="J137" s="27">
        <f t="shared" si="20"/>
        <v>4</v>
      </c>
      <c r="K137" s="1" t="str">
        <f t="shared" si="21"/>
        <v>BALA</v>
      </c>
      <c r="L137" s="1" t="str">
        <f t="shared" si="22"/>
        <v>bala</v>
      </c>
      <c r="M137" s="1" t="str">
        <f t="shared" si="23"/>
        <v>Bala</v>
      </c>
      <c r="N137" s="1" t="str">
        <f t="shared" si="24"/>
        <v>Bala - Finance</v>
      </c>
      <c r="O137" s="1" t="str">
        <f t="shared" si="25"/>
        <v>Bala  Finance</v>
      </c>
      <c r="P137" s="1" t="str">
        <f t="shared" si="26"/>
        <v>Bal</v>
      </c>
    </row>
    <row r="138" spans="1:16" x14ac:dyDescent="0.3">
      <c r="A138" s="1">
        <v>1137</v>
      </c>
      <c r="B138" s="1" t="s">
        <v>26</v>
      </c>
      <c r="C138" s="1" t="s">
        <v>11</v>
      </c>
      <c r="D138" s="1" t="s">
        <v>15</v>
      </c>
      <c r="E138" s="1">
        <v>29337</v>
      </c>
      <c r="F138" s="1">
        <v>2840</v>
      </c>
      <c r="G138" s="24">
        <v>1</v>
      </c>
      <c r="H138" s="27" t="str">
        <f t="shared" si="18"/>
        <v>Ch</v>
      </c>
      <c r="I138" s="28" t="str">
        <f t="shared" si="19"/>
        <v>an</v>
      </c>
      <c r="J138" s="27">
        <f t="shared" si="20"/>
        <v>6</v>
      </c>
      <c r="K138" s="1" t="str">
        <f t="shared" si="21"/>
        <v>CHARAN</v>
      </c>
      <c r="L138" s="1" t="str">
        <f t="shared" si="22"/>
        <v>charan</v>
      </c>
      <c r="M138" s="1" t="str">
        <f t="shared" si="23"/>
        <v>Charan</v>
      </c>
      <c r="N138" s="1" t="str">
        <f t="shared" si="24"/>
        <v>Charan - Finance</v>
      </c>
      <c r="O138" s="1" t="str">
        <f t="shared" si="25"/>
        <v>Charan  Finance</v>
      </c>
      <c r="P138" s="1" t="str">
        <f t="shared" si="26"/>
        <v>Cha</v>
      </c>
    </row>
    <row r="139" spans="1:16" x14ac:dyDescent="0.3">
      <c r="A139" s="1">
        <v>1138</v>
      </c>
      <c r="B139" s="1" t="s">
        <v>29</v>
      </c>
      <c r="C139" s="1" t="s">
        <v>8</v>
      </c>
      <c r="D139" s="1" t="s">
        <v>9</v>
      </c>
      <c r="E139" s="1">
        <v>62891</v>
      </c>
      <c r="F139" s="1">
        <v>7534</v>
      </c>
      <c r="G139" s="24">
        <v>7</v>
      </c>
      <c r="H139" s="27" t="str">
        <f t="shared" si="18"/>
        <v>Es</v>
      </c>
      <c r="I139" s="28" t="str">
        <f t="shared" si="19"/>
        <v>ha</v>
      </c>
      <c r="J139" s="27">
        <f t="shared" si="20"/>
        <v>4</v>
      </c>
      <c r="K139" s="1" t="str">
        <f t="shared" si="21"/>
        <v>ESHA</v>
      </c>
      <c r="L139" s="1" t="str">
        <f t="shared" si="22"/>
        <v>esha</v>
      </c>
      <c r="M139" s="1" t="str">
        <f t="shared" si="23"/>
        <v>Esha</v>
      </c>
      <c r="N139" s="1" t="str">
        <f t="shared" si="24"/>
        <v>Esha - IT</v>
      </c>
      <c r="O139" s="1" t="str">
        <f t="shared" si="25"/>
        <v>Esha  IT</v>
      </c>
      <c r="P139" s="1" t="str">
        <f t="shared" si="26"/>
        <v>Esh</v>
      </c>
    </row>
    <row r="140" spans="1:16" x14ac:dyDescent="0.3">
      <c r="A140" s="1">
        <v>1139</v>
      </c>
      <c r="B140" s="1" t="s">
        <v>7</v>
      </c>
      <c r="C140" s="1" t="s">
        <v>8</v>
      </c>
      <c r="D140" s="1" t="s">
        <v>12</v>
      </c>
      <c r="E140" s="1">
        <v>70278</v>
      </c>
      <c r="F140" s="1">
        <v>3722</v>
      </c>
      <c r="G140" s="24">
        <v>4</v>
      </c>
      <c r="H140" s="27" t="str">
        <f t="shared" si="18"/>
        <v>Jo</v>
      </c>
      <c r="I140" s="28" t="str">
        <f t="shared" si="19"/>
        <v>hn</v>
      </c>
      <c r="J140" s="27">
        <f t="shared" si="20"/>
        <v>4</v>
      </c>
      <c r="K140" s="1" t="str">
        <f t="shared" si="21"/>
        <v>JOHN</v>
      </c>
      <c r="L140" s="1" t="str">
        <f t="shared" si="22"/>
        <v>john</v>
      </c>
      <c r="M140" s="1" t="str">
        <f t="shared" si="23"/>
        <v>John</v>
      </c>
      <c r="N140" s="1" t="str">
        <f t="shared" si="24"/>
        <v>John - IT</v>
      </c>
      <c r="O140" s="1" t="str">
        <f t="shared" si="25"/>
        <v>John  IT</v>
      </c>
      <c r="P140" s="1" t="str">
        <f t="shared" si="26"/>
        <v>Joh</v>
      </c>
    </row>
    <row r="141" spans="1:16" x14ac:dyDescent="0.3">
      <c r="A141" s="1">
        <v>1140</v>
      </c>
      <c r="B141" s="1" t="s">
        <v>30</v>
      </c>
      <c r="C141" s="1" t="s">
        <v>14</v>
      </c>
      <c r="D141" s="1" t="s">
        <v>21</v>
      </c>
      <c r="E141" s="1">
        <v>42516</v>
      </c>
      <c r="F141" s="1">
        <v>4527</v>
      </c>
      <c r="G141" s="24">
        <v>2</v>
      </c>
      <c r="H141" s="27" t="str">
        <f t="shared" si="18"/>
        <v>Ir</v>
      </c>
      <c r="I141" s="28" t="str">
        <f t="shared" si="19"/>
        <v>an</v>
      </c>
      <c r="J141" s="27">
        <f t="shared" si="20"/>
        <v>5</v>
      </c>
      <c r="K141" s="1" t="str">
        <f t="shared" si="21"/>
        <v>IRFAN</v>
      </c>
      <c r="L141" s="1" t="str">
        <f t="shared" si="22"/>
        <v>irfan</v>
      </c>
      <c r="M141" s="1" t="str">
        <f t="shared" si="23"/>
        <v>Irfan</v>
      </c>
      <c r="N141" s="1" t="str">
        <f t="shared" si="24"/>
        <v>Irfan - HR</v>
      </c>
      <c r="O141" s="1" t="str">
        <f t="shared" si="25"/>
        <v>Irfan  HR</v>
      </c>
      <c r="P141" s="1" t="str">
        <f t="shared" si="26"/>
        <v>Irf</v>
      </c>
    </row>
    <row r="142" spans="1:16" x14ac:dyDescent="0.3">
      <c r="A142" s="1">
        <v>1141</v>
      </c>
      <c r="B142" s="1" t="s">
        <v>33</v>
      </c>
      <c r="C142" s="1" t="s">
        <v>8</v>
      </c>
      <c r="D142" s="1" t="s">
        <v>21</v>
      </c>
      <c r="E142" s="1">
        <v>47585</v>
      </c>
      <c r="F142" s="1">
        <v>9569</v>
      </c>
      <c r="G142" s="24">
        <v>5</v>
      </c>
      <c r="H142" s="27" t="str">
        <f t="shared" si="18"/>
        <v>Da</v>
      </c>
      <c r="I142" s="28" t="str">
        <f t="shared" si="19"/>
        <v>id</v>
      </c>
      <c r="J142" s="27">
        <f t="shared" si="20"/>
        <v>5</v>
      </c>
      <c r="K142" s="1" t="str">
        <f t="shared" si="21"/>
        <v>DAVID</v>
      </c>
      <c r="L142" s="1" t="str">
        <f t="shared" si="22"/>
        <v>david</v>
      </c>
      <c r="M142" s="1" t="str">
        <f t="shared" si="23"/>
        <v>David</v>
      </c>
      <c r="N142" s="1" t="str">
        <f t="shared" si="24"/>
        <v>David - IT</v>
      </c>
      <c r="O142" s="1" t="str">
        <f t="shared" si="25"/>
        <v>David  IT</v>
      </c>
      <c r="P142" s="1" t="str">
        <f t="shared" si="26"/>
        <v>Dav</v>
      </c>
    </row>
    <row r="143" spans="1:16" x14ac:dyDescent="0.3">
      <c r="A143" s="1">
        <v>1142</v>
      </c>
      <c r="B143" s="1" t="s">
        <v>17</v>
      </c>
      <c r="C143" s="1" t="s">
        <v>11</v>
      </c>
      <c r="D143" s="1" t="s">
        <v>12</v>
      </c>
      <c r="E143" s="1">
        <v>39651</v>
      </c>
      <c r="F143" s="1">
        <v>1339</v>
      </c>
      <c r="G143" s="24">
        <v>6</v>
      </c>
      <c r="H143" s="27" t="str">
        <f t="shared" si="18"/>
        <v>Ki</v>
      </c>
      <c r="I143" s="28" t="str">
        <f t="shared" si="19"/>
        <v>an</v>
      </c>
      <c r="J143" s="27">
        <f t="shared" si="20"/>
        <v>5</v>
      </c>
      <c r="K143" s="1" t="str">
        <f t="shared" si="21"/>
        <v>KIRAN</v>
      </c>
      <c r="L143" s="1" t="str">
        <f t="shared" si="22"/>
        <v>kiran</v>
      </c>
      <c r="M143" s="1" t="str">
        <f t="shared" si="23"/>
        <v>Kiran</v>
      </c>
      <c r="N143" s="1" t="str">
        <f t="shared" si="24"/>
        <v>Kiran - Finance</v>
      </c>
      <c r="O143" s="1" t="str">
        <f t="shared" si="25"/>
        <v>Kiran  Finance</v>
      </c>
      <c r="P143" s="1" t="str">
        <f t="shared" si="26"/>
        <v>Kir</v>
      </c>
    </row>
    <row r="144" spans="1:16" x14ac:dyDescent="0.3">
      <c r="A144" s="1">
        <v>1143</v>
      </c>
      <c r="B144" s="1" t="s">
        <v>23</v>
      </c>
      <c r="C144" s="1" t="s">
        <v>14</v>
      </c>
      <c r="D144" s="1" t="s">
        <v>12</v>
      </c>
      <c r="E144" s="1">
        <v>57341</v>
      </c>
      <c r="F144" s="1">
        <v>4129</v>
      </c>
      <c r="G144" s="24">
        <v>4</v>
      </c>
      <c r="H144" s="27" t="str">
        <f t="shared" si="18"/>
        <v>Va</v>
      </c>
      <c r="I144" s="28" t="str">
        <f t="shared" si="19"/>
        <v>un</v>
      </c>
      <c r="J144" s="27">
        <f t="shared" si="20"/>
        <v>5</v>
      </c>
      <c r="K144" s="1" t="str">
        <f t="shared" si="21"/>
        <v>VARUN</v>
      </c>
      <c r="L144" s="1" t="str">
        <f t="shared" si="22"/>
        <v>varun</v>
      </c>
      <c r="M144" s="1" t="str">
        <f t="shared" si="23"/>
        <v>Varun</v>
      </c>
      <c r="N144" s="1" t="str">
        <f t="shared" si="24"/>
        <v>Varun - HR</v>
      </c>
      <c r="O144" s="1" t="str">
        <f t="shared" si="25"/>
        <v>Varun  HR</v>
      </c>
      <c r="P144" s="1" t="str">
        <f t="shared" si="26"/>
        <v>Var</v>
      </c>
    </row>
    <row r="145" spans="1:16" x14ac:dyDescent="0.3">
      <c r="A145" s="1">
        <v>1144</v>
      </c>
      <c r="B145" s="1" t="s">
        <v>16</v>
      </c>
      <c r="C145" s="1" t="s">
        <v>19</v>
      </c>
      <c r="D145" s="1" t="s">
        <v>12</v>
      </c>
      <c r="E145" s="1">
        <v>24667</v>
      </c>
      <c r="F145" s="1">
        <v>7693</v>
      </c>
      <c r="G145" s="24">
        <v>3</v>
      </c>
      <c r="H145" s="27" t="str">
        <f t="shared" si="18"/>
        <v>Fa</v>
      </c>
      <c r="I145" s="28" t="str">
        <f t="shared" si="19"/>
        <v>an</v>
      </c>
      <c r="J145" s="27">
        <f t="shared" si="20"/>
        <v>6</v>
      </c>
      <c r="K145" s="1" t="str">
        <f t="shared" si="21"/>
        <v>FARHAN</v>
      </c>
      <c r="L145" s="1" t="str">
        <f t="shared" si="22"/>
        <v>farhan</v>
      </c>
      <c r="M145" s="1" t="str">
        <f t="shared" si="23"/>
        <v>Farhan</v>
      </c>
      <c r="N145" s="1" t="str">
        <f t="shared" si="24"/>
        <v>Farhan - Sales</v>
      </c>
      <c r="O145" s="1" t="str">
        <f t="shared" si="25"/>
        <v>Farhan  Sales</v>
      </c>
      <c r="P145" s="1" t="str">
        <f t="shared" si="26"/>
        <v>Far</v>
      </c>
    </row>
    <row r="146" spans="1:16" x14ac:dyDescent="0.3">
      <c r="A146" s="1">
        <v>1145</v>
      </c>
      <c r="B146" s="1" t="s">
        <v>24</v>
      </c>
      <c r="C146" s="1" t="s">
        <v>19</v>
      </c>
      <c r="D146" s="1" t="s">
        <v>21</v>
      </c>
      <c r="E146" s="1">
        <v>21739</v>
      </c>
      <c r="F146" s="1">
        <v>7379</v>
      </c>
      <c r="G146" s="24">
        <v>8</v>
      </c>
      <c r="H146" s="27" t="str">
        <f t="shared" si="18"/>
        <v>Ba</v>
      </c>
      <c r="I146" s="28" t="str">
        <f t="shared" si="19"/>
        <v>la</v>
      </c>
      <c r="J146" s="27">
        <f t="shared" si="20"/>
        <v>4</v>
      </c>
      <c r="K146" s="1" t="str">
        <f t="shared" si="21"/>
        <v>BALA</v>
      </c>
      <c r="L146" s="1" t="str">
        <f t="shared" si="22"/>
        <v>bala</v>
      </c>
      <c r="M146" s="1" t="str">
        <f t="shared" si="23"/>
        <v>Bala</v>
      </c>
      <c r="N146" s="1" t="str">
        <f t="shared" si="24"/>
        <v>Bala - Sales</v>
      </c>
      <c r="O146" s="1" t="str">
        <f t="shared" si="25"/>
        <v>Bala  Sales</v>
      </c>
      <c r="P146" s="1" t="str">
        <f t="shared" si="26"/>
        <v>Bal</v>
      </c>
    </row>
    <row r="147" spans="1:16" x14ac:dyDescent="0.3">
      <c r="A147" s="1">
        <v>1146</v>
      </c>
      <c r="B147" s="1" t="s">
        <v>22</v>
      </c>
      <c r="C147" s="1" t="s">
        <v>14</v>
      </c>
      <c r="D147" s="1" t="s">
        <v>21</v>
      </c>
      <c r="E147" s="1">
        <v>58099</v>
      </c>
      <c r="F147" s="1">
        <v>5243</v>
      </c>
      <c r="G147" s="24">
        <v>5</v>
      </c>
      <c r="H147" s="27" t="str">
        <f t="shared" si="18"/>
        <v>La</v>
      </c>
      <c r="I147" s="28" t="str">
        <f t="shared" si="19"/>
        <v>ha</v>
      </c>
      <c r="J147" s="27">
        <f t="shared" si="20"/>
        <v>5</v>
      </c>
      <c r="K147" s="1" t="str">
        <f t="shared" si="21"/>
        <v>LATHA</v>
      </c>
      <c r="L147" s="1" t="str">
        <f t="shared" si="22"/>
        <v>latha</v>
      </c>
      <c r="M147" s="1" t="str">
        <f t="shared" si="23"/>
        <v>Latha</v>
      </c>
      <c r="N147" s="1" t="str">
        <f t="shared" si="24"/>
        <v>Latha - HR</v>
      </c>
      <c r="O147" s="1" t="str">
        <f t="shared" si="25"/>
        <v>Latha  HR</v>
      </c>
      <c r="P147" s="1" t="str">
        <f t="shared" si="26"/>
        <v>Lat</v>
      </c>
    </row>
    <row r="148" spans="1:16" x14ac:dyDescent="0.3">
      <c r="A148" s="1">
        <v>1147</v>
      </c>
      <c r="B148" s="1" t="s">
        <v>13</v>
      </c>
      <c r="C148" s="1" t="s">
        <v>14</v>
      </c>
      <c r="D148" s="1" t="s">
        <v>15</v>
      </c>
      <c r="E148" s="1">
        <v>47929</v>
      </c>
      <c r="F148" s="1">
        <v>4306</v>
      </c>
      <c r="G148" s="24">
        <v>6</v>
      </c>
      <c r="H148" s="27" t="str">
        <f t="shared" si="18"/>
        <v>Te</v>
      </c>
      <c r="I148" s="28" t="str">
        <f t="shared" si="19"/>
        <v>ja</v>
      </c>
      <c r="J148" s="27">
        <f t="shared" si="20"/>
        <v>4</v>
      </c>
      <c r="K148" s="1" t="str">
        <f t="shared" si="21"/>
        <v>TEJA</v>
      </c>
      <c r="L148" s="1" t="str">
        <f t="shared" si="22"/>
        <v>teja</v>
      </c>
      <c r="M148" s="1" t="str">
        <f t="shared" si="23"/>
        <v>Teja</v>
      </c>
      <c r="N148" s="1" t="str">
        <f t="shared" si="24"/>
        <v>Teja - HR</v>
      </c>
      <c r="O148" s="1" t="str">
        <f t="shared" si="25"/>
        <v>Teja  HR</v>
      </c>
      <c r="P148" s="1" t="str">
        <f t="shared" si="26"/>
        <v>Tej</v>
      </c>
    </row>
    <row r="149" spans="1:16" x14ac:dyDescent="0.3">
      <c r="A149" s="1">
        <v>1148</v>
      </c>
      <c r="B149" s="1" t="s">
        <v>27</v>
      </c>
      <c r="C149" s="1" t="s">
        <v>8</v>
      </c>
      <c r="D149" s="1" t="s">
        <v>21</v>
      </c>
      <c r="E149" s="1">
        <v>22609</v>
      </c>
      <c r="F149" s="1">
        <v>7674</v>
      </c>
      <c r="G149" s="24">
        <v>7</v>
      </c>
      <c r="H149" s="27" t="str">
        <f t="shared" si="18"/>
        <v>He</v>
      </c>
      <c r="I149" s="28" t="str">
        <f t="shared" si="19"/>
        <v>ma</v>
      </c>
      <c r="J149" s="27">
        <f t="shared" si="20"/>
        <v>4</v>
      </c>
      <c r="K149" s="1" t="str">
        <f t="shared" si="21"/>
        <v>HEMA</v>
      </c>
      <c r="L149" s="1" t="str">
        <f t="shared" si="22"/>
        <v>hema</v>
      </c>
      <c r="M149" s="1" t="str">
        <f t="shared" si="23"/>
        <v>Hema</v>
      </c>
      <c r="N149" s="1" t="str">
        <f t="shared" si="24"/>
        <v>Hema - IT</v>
      </c>
      <c r="O149" s="1" t="str">
        <f t="shared" si="25"/>
        <v>Hema  IT</v>
      </c>
      <c r="P149" s="1" t="str">
        <f t="shared" si="26"/>
        <v>Hem</v>
      </c>
    </row>
    <row r="150" spans="1:16" x14ac:dyDescent="0.3">
      <c r="A150" s="1">
        <v>1149</v>
      </c>
      <c r="B150" s="1" t="s">
        <v>34</v>
      </c>
      <c r="C150" s="1" t="s">
        <v>19</v>
      </c>
      <c r="D150" s="1" t="s">
        <v>15</v>
      </c>
      <c r="E150" s="1">
        <v>46977</v>
      </c>
      <c r="F150" s="1">
        <v>3949</v>
      </c>
      <c r="G150" s="24">
        <v>3</v>
      </c>
      <c r="H150" s="27" t="str">
        <f t="shared" si="18"/>
        <v>Ar</v>
      </c>
      <c r="I150" s="28" t="str">
        <f t="shared" si="19"/>
        <v>un</v>
      </c>
      <c r="J150" s="27">
        <f t="shared" si="20"/>
        <v>4</v>
      </c>
      <c r="K150" s="1" t="str">
        <f t="shared" si="21"/>
        <v>ARUN</v>
      </c>
      <c r="L150" s="1" t="str">
        <f t="shared" si="22"/>
        <v>arun</v>
      </c>
      <c r="M150" s="1" t="str">
        <f t="shared" si="23"/>
        <v>Arun</v>
      </c>
      <c r="N150" s="1" t="str">
        <f t="shared" si="24"/>
        <v>Arun - Sales</v>
      </c>
      <c r="O150" s="1" t="str">
        <f t="shared" si="25"/>
        <v>Arun  Sales</v>
      </c>
      <c r="P150" s="1" t="str">
        <f t="shared" si="26"/>
        <v>Aru</v>
      </c>
    </row>
    <row r="151" spans="1:16" x14ac:dyDescent="0.3">
      <c r="A151" s="1">
        <v>1150</v>
      </c>
      <c r="B151" s="1" t="s">
        <v>18</v>
      </c>
      <c r="C151" s="1" t="s">
        <v>19</v>
      </c>
      <c r="D151" s="1" t="s">
        <v>21</v>
      </c>
      <c r="E151" s="1">
        <v>60494</v>
      </c>
      <c r="F151" s="1">
        <v>4222</v>
      </c>
      <c r="G151" s="24">
        <v>5</v>
      </c>
      <c r="H151" s="27" t="str">
        <f t="shared" si="18"/>
        <v>Ni</v>
      </c>
      <c r="I151" s="28" t="str">
        <f t="shared" si="19"/>
        <v>il</v>
      </c>
      <c r="J151" s="27">
        <f t="shared" si="20"/>
        <v>6</v>
      </c>
      <c r="K151" s="1" t="str">
        <f t="shared" si="21"/>
        <v>NIKHIL</v>
      </c>
      <c r="L151" s="1" t="str">
        <f t="shared" si="22"/>
        <v>nikhil</v>
      </c>
      <c r="M151" s="1" t="str">
        <f t="shared" si="23"/>
        <v>Nikhil</v>
      </c>
      <c r="N151" s="1" t="str">
        <f t="shared" si="24"/>
        <v>Nikhil - Sales</v>
      </c>
      <c r="O151" s="1" t="str">
        <f t="shared" si="25"/>
        <v>Nikhil  Sales</v>
      </c>
      <c r="P151" s="1" t="str">
        <f t="shared" si="26"/>
        <v>Nik</v>
      </c>
    </row>
    <row r="152" spans="1:16" x14ac:dyDescent="0.3">
      <c r="A152" s="1">
        <v>1151</v>
      </c>
      <c r="B152" s="1" t="s">
        <v>34</v>
      </c>
      <c r="C152" s="1" t="s">
        <v>11</v>
      </c>
      <c r="D152" s="1" t="s">
        <v>15</v>
      </c>
      <c r="E152" s="1">
        <v>76345</v>
      </c>
      <c r="F152" s="1">
        <v>4343</v>
      </c>
      <c r="G152" s="24">
        <v>3</v>
      </c>
      <c r="H152" s="27" t="str">
        <f t="shared" si="18"/>
        <v>Ar</v>
      </c>
      <c r="I152" s="28" t="str">
        <f t="shared" si="19"/>
        <v>un</v>
      </c>
      <c r="J152" s="27">
        <f t="shared" si="20"/>
        <v>4</v>
      </c>
      <c r="K152" s="1" t="str">
        <f t="shared" si="21"/>
        <v>ARUN</v>
      </c>
      <c r="L152" s="1" t="str">
        <f t="shared" si="22"/>
        <v>arun</v>
      </c>
      <c r="M152" s="1" t="str">
        <f t="shared" si="23"/>
        <v>Arun</v>
      </c>
      <c r="N152" s="1" t="str">
        <f t="shared" si="24"/>
        <v>Arun - Finance</v>
      </c>
      <c r="O152" s="1" t="str">
        <f t="shared" si="25"/>
        <v>Arun  Finance</v>
      </c>
      <c r="P152" s="1" t="str">
        <f t="shared" si="26"/>
        <v>Aru</v>
      </c>
    </row>
    <row r="153" spans="1:16" x14ac:dyDescent="0.3">
      <c r="A153" s="1">
        <v>1152</v>
      </c>
      <c r="B153" s="1" t="s">
        <v>10</v>
      </c>
      <c r="C153" s="1" t="s">
        <v>19</v>
      </c>
      <c r="D153" s="1" t="s">
        <v>12</v>
      </c>
      <c r="E153" s="1">
        <v>57626</v>
      </c>
      <c r="F153" s="1">
        <v>6698</v>
      </c>
      <c r="G153" s="24">
        <v>9</v>
      </c>
      <c r="H153" s="27" t="str">
        <f t="shared" si="18"/>
        <v>Me</v>
      </c>
      <c r="I153" s="28" t="str">
        <f t="shared" si="19"/>
        <v>na</v>
      </c>
      <c r="J153" s="27">
        <f t="shared" si="20"/>
        <v>5</v>
      </c>
      <c r="K153" s="1" t="str">
        <f t="shared" si="21"/>
        <v>MEENA</v>
      </c>
      <c r="L153" s="1" t="str">
        <f t="shared" si="22"/>
        <v>meena</v>
      </c>
      <c r="M153" s="1" t="str">
        <f t="shared" si="23"/>
        <v>Meena</v>
      </c>
      <c r="N153" s="1" t="str">
        <f t="shared" si="24"/>
        <v>Meena - Sales</v>
      </c>
      <c r="O153" s="1" t="str">
        <f t="shared" si="25"/>
        <v>Meena  Sales</v>
      </c>
      <c r="P153" s="1" t="str">
        <f t="shared" si="26"/>
        <v>Mee</v>
      </c>
    </row>
    <row r="154" spans="1:16" x14ac:dyDescent="0.3">
      <c r="A154" s="1">
        <v>1153</v>
      </c>
      <c r="B154" s="1" t="s">
        <v>29</v>
      </c>
      <c r="C154" s="1" t="s">
        <v>19</v>
      </c>
      <c r="D154" s="1" t="s">
        <v>12</v>
      </c>
      <c r="E154" s="1">
        <v>44248</v>
      </c>
      <c r="F154" s="1">
        <v>3806</v>
      </c>
      <c r="G154" s="24">
        <v>8</v>
      </c>
      <c r="H154" s="27" t="str">
        <f t="shared" si="18"/>
        <v>Es</v>
      </c>
      <c r="I154" s="28" t="str">
        <f t="shared" si="19"/>
        <v>ha</v>
      </c>
      <c r="J154" s="27">
        <f t="shared" si="20"/>
        <v>4</v>
      </c>
      <c r="K154" s="1" t="str">
        <f t="shared" si="21"/>
        <v>ESHA</v>
      </c>
      <c r="L154" s="1" t="str">
        <f t="shared" si="22"/>
        <v>esha</v>
      </c>
      <c r="M154" s="1" t="str">
        <f t="shared" si="23"/>
        <v>Esha</v>
      </c>
      <c r="N154" s="1" t="str">
        <f t="shared" si="24"/>
        <v>Esha - Sales</v>
      </c>
      <c r="O154" s="1" t="str">
        <f t="shared" si="25"/>
        <v>Esha  Sales</v>
      </c>
      <c r="P154" s="1" t="str">
        <f t="shared" si="26"/>
        <v>Esh</v>
      </c>
    </row>
    <row r="155" spans="1:16" x14ac:dyDescent="0.3">
      <c r="A155" s="1">
        <v>1154</v>
      </c>
      <c r="B155" s="1" t="s">
        <v>27</v>
      </c>
      <c r="C155" s="1" t="s">
        <v>19</v>
      </c>
      <c r="D155" s="1" t="s">
        <v>15</v>
      </c>
      <c r="E155" s="1">
        <v>78746</v>
      </c>
      <c r="F155" s="1">
        <v>1003</v>
      </c>
      <c r="G155" s="24">
        <v>10</v>
      </c>
      <c r="H155" s="27" t="str">
        <f t="shared" si="18"/>
        <v>He</v>
      </c>
      <c r="I155" s="28" t="str">
        <f t="shared" si="19"/>
        <v>ma</v>
      </c>
      <c r="J155" s="27">
        <f t="shared" si="20"/>
        <v>4</v>
      </c>
      <c r="K155" s="1" t="str">
        <f t="shared" si="21"/>
        <v>HEMA</v>
      </c>
      <c r="L155" s="1" t="str">
        <f t="shared" si="22"/>
        <v>hema</v>
      </c>
      <c r="M155" s="1" t="str">
        <f t="shared" si="23"/>
        <v>Hema</v>
      </c>
      <c r="N155" s="1" t="str">
        <f t="shared" si="24"/>
        <v>Hema - Sales</v>
      </c>
      <c r="O155" s="1" t="str">
        <f t="shared" si="25"/>
        <v>Hema  Sales</v>
      </c>
      <c r="P155" s="1" t="str">
        <f t="shared" si="26"/>
        <v>Hem</v>
      </c>
    </row>
    <row r="156" spans="1:16" x14ac:dyDescent="0.3">
      <c r="A156" s="1">
        <v>1155</v>
      </c>
      <c r="B156" s="1" t="s">
        <v>20</v>
      </c>
      <c r="C156" s="1" t="s">
        <v>19</v>
      </c>
      <c r="D156" s="1" t="s">
        <v>21</v>
      </c>
      <c r="E156" s="1">
        <v>33611</v>
      </c>
      <c r="F156" s="1">
        <v>6183</v>
      </c>
      <c r="G156" s="24">
        <v>7</v>
      </c>
      <c r="H156" s="27" t="str">
        <f t="shared" si="18"/>
        <v>Gi</v>
      </c>
      <c r="I156" s="28" t="str">
        <f t="shared" si="19"/>
        <v>ri</v>
      </c>
      <c r="J156" s="27">
        <f t="shared" si="20"/>
        <v>4</v>
      </c>
      <c r="K156" s="1" t="str">
        <f t="shared" si="21"/>
        <v>GIRI</v>
      </c>
      <c r="L156" s="1" t="str">
        <f t="shared" si="22"/>
        <v>giri</v>
      </c>
      <c r="M156" s="1" t="str">
        <f t="shared" si="23"/>
        <v>Giri</v>
      </c>
      <c r="N156" s="1" t="str">
        <f t="shared" si="24"/>
        <v>Giri - Sales</v>
      </c>
      <c r="O156" s="1" t="str">
        <f t="shared" si="25"/>
        <v>Giri  Sales</v>
      </c>
      <c r="P156" s="1" t="str">
        <f t="shared" si="26"/>
        <v>Gir</v>
      </c>
    </row>
    <row r="157" spans="1:16" x14ac:dyDescent="0.3">
      <c r="A157" s="1">
        <v>1156</v>
      </c>
      <c r="B157" s="1" t="s">
        <v>29</v>
      </c>
      <c r="C157" s="1" t="s">
        <v>14</v>
      </c>
      <c r="D157" s="1" t="s">
        <v>21</v>
      </c>
      <c r="E157" s="1">
        <v>33415</v>
      </c>
      <c r="F157" s="1">
        <v>7380</v>
      </c>
      <c r="G157" s="24">
        <v>1</v>
      </c>
      <c r="H157" s="27" t="str">
        <f t="shared" si="18"/>
        <v>Es</v>
      </c>
      <c r="I157" s="28" t="str">
        <f t="shared" si="19"/>
        <v>ha</v>
      </c>
      <c r="J157" s="27">
        <f t="shared" si="20"/>
        <v>4</v>
      </c>
      <c r="K157" s="1" t="str">
        <f t="shared" si="21"/>
        <v>ESHA</v>
      </c>
      <c r="L157" s="1" t="str">
        <f t="shared" si="22"/>
        <v>esha</v>
      </c>
      <c r="M157" s="1" t="str">
        <f t="shared" si="23"/>
        <v>Esha</v>
      </c>
      <c r="N157" s="1" t="str">
        <f t="shared" si="24"/>
        <v>Esha - HR</v>
      </c>
      <c r="O157" s="1" t="str">
        <f t="shared" si="25"/>
        <v>Esha  HR</v>
      </c>
      <c r="P157" s="1" t="str">
        <f t="shared" si="26"/>
        <v>Esh</v>
      </c>
    </row>
    <row r="158" spans="1:16" x14ac:dyDescent="0.3">
      <c r="A158" s="1">
        <v>1157</v>
      </c>
      <c r="B158" s="1" t="s">
        <v>16</v>
      </c>
      <c r="C158" s="1" t="s">
        <v>14</v>
      </c>
      <c r="D158" s="1" t="s">
        <v>12</v>
      </c>
      <c r="E158" s="1">
        <v>31503</v>
      </c>
      <c r="F158" s="1">
        <v>3768</v>
      </c>
      <c r="G158" s="24">
        <v>2</v>
      </c>
      <c r="H158" s="27" t="str">
        <f t="shared" si="18"/>
        <v>Fa</v>
      </c>
      <c r="I158" s="28" t="str">
        <f t="shared" si="19"/>
        <v>an</v>
      </c>
      <c r="J158" s="27">
        <f t="shared" si="20"/>
        <v>6</v>
      </c>
      <c r="K158" s="1" t="str">
        <f t="shared" si="21"/>
        <v>FARHAN</v>
      </c>
      <c r="L158" s="1" t="str">
        <f t="shared" si="22"/>
        <v>farhan</v>
      </c>
      <c r="M158" s="1" t="str">
        <f t="shared" si="23"/>
        <v>Farhan</v>
      </c>
      <c r="N158" s="1" t="str">
        <f t="shared" si="24"/>
        <v>Farhan - HR</v>
      </c>
      <c r="O158" s="1" t="str">
        <f t="shared" si="25"/>
        <v>Farhan  HR</v>
      </c>
      <c r="P158" s="1" t="str">
        <f t="shared" si="26"/>
        <v>Far</v>
      </c>
    </row>
    <row r="159" spans="1:16" x14ac:dyDescent="0.3">
      <c r="A159" s="1">
        <v>1158</v>
      </c>
      <c r="B159" s="1" t="s">
        <v>28</v>
      </c>
      <c r="C159" s="1" t="s">
        <v>19</v>
      </c>
      <c r="D159" s="1" t="s">
        <v>9</v>
      </c>
      <c r="E159" s="1">
        <v>54251</v>
      </c>
      <c r="F159" s="1">
        <v>6419</v>
      </c>
      <c r="G159" s="24">
        <v>5</v>
      </c>
      <c r="H159" s="27" t="str">
        <f t="shared" si="18"/>
        <v>Ra</v>
      </c>
      <c r="I159" s="28" t="str">
        <f t="shared" si="19"/>
        <v>vi</v>
      </c>
      <c r="J159" s="27">
        <f t="shared" si="20"/>
        <v>4</v>
      </c>
      <c r="K159" s="1" t="str">
        <f t="shared" si="21"/>
        <v>RAVI</v>
      </c>
      <c r="L159" s="1" t="str">
        <f t="shared" si="22"/>
        <v>ravi</v>
      </c>
      <c r="M159" s="1" t="str">
        <f t="shared" si="23"/>
        <v>Ravi</v>
      </c>
      <c r="N159" s="1" t="str">
        <f t="shared" si="24"/>
        <v>Ravi - Sales</v>
      </c>
      <c r="O159" s="1" t="str">
        <f t="shared" si="25"/>
        <v>Ravi  Sales</v>
      </c>
      <c r="P159" s="1" t="str">
        <f t="shared" si="26"/>
        <v>Rav</v>
      </c>
    </row>
    <row r="160" spans="1:16" x14ac:dyDescent="0.3">
      <c r="A160" s="1">
        <v>1159</v>
      </c>
      <c r="B160" s="1" t="s">
        <v>17</v>
      </c>
      <c r="C160" s="1" t="s">
        <v>11</v>
      </c>
      <c r="D160" s="1" t="s">
        <v>9</v>
      </c>
      <c r="E160" s="1">
        <v>45175</v>
      </c>
      <c r="F160" s="1">
        <v>8040</v>
      </c>
      <c r="G160" s="24">
        <v>10</v>
      </c>
      <c r="H160" s="27" t="str">
        <f t="shared" si="18"/>
        <v>Ki</v>
      </c>
      <c r="I160" s="28" t="str">
        <f t="shared" si="19"/>
        <v>an</v>
      </c>
      <c r="J160" s="27">
        <f t="shared" si="20"/>
        <v>5</v>
      </c>
      <c r="K160" s="1" t="str">
        <f t="shared" si="21"/>
        <v>KIRAN</v>
      </c>
      <c r="L160" s="1" t="str">
        <f t="shared" si="22"/>
        <v>kiran</v>
      </c>
      <c r="M160" s="1" t="str">
        <f t="shared" si="23"/>
        <v>Kiran</v>
      </c>
      <c r="N160" s="1" t="str">
        <f t="shared" si="24"/>
        <v>Kiran - Finance</v>
      </c>
      <c r="O160" s="1" t="str">
        <f t="shared" si="25"/>
        <v>Kiran  Finance</v>
      </c>
      <c r="P160" s="1" t="str">
        <f t="shared" si="26"/>
        <v>Kir</v>
      </c>
    </row>
    <row r="161" spans="1:16" x14ac:dyDescent="0.3">
      <c r="A161" s="1">
        <v>1160</v>
      </c>
      <c r="B161" s="1" t="s">
        <v>18</v>
      </c>
      <c r="C161" s="1" t="s">
        <v>8</v>
      </c>
      <c r="D161" s="1" t="s">
        <v>21</v>
      </c>
      <c r="E161" s="1">
        <v>70498</v>
      </c>
      <c r="F161" s="1">
        <v>5555</v>
      </c>
      <c r="G161" s="24">
        <v>9</v>
      </c>
      <c r="H161" s="27" t="str">
        <f t="shared" si="18"/>
        <v>Ni</v>
      </c>
      <c r="I161" s="28" t="str">
        <f t="shared" si="19"/>
        <v>il</v>
      </c>
      <c r="J161" s="27">
        <f t="shared" si="20"/>
        <v>6</v>
      </c>
      <c r="K161" s="1" t="str">
        <f t="shared" si="21"/>
        <v>NIKHIL</v>
      </c>
      <c r="L161" s="1" t="str">
        <f t="shared" si="22"/>
        <v>nikhil</v>
      </c>
      <c r="M161" s="1" t="str">
        <f t="shared" si="23"/>
        <v>Nikhil</v>
      </c>
      <c r="N161" s="1" t="str">
        <f t="shared" si="24"/>
        <v>Nikhil - IT</v>
      </c>
      <c r="O161" s="1" t="str">
        <f t="shared" si="25"/>
        <v>Nikhil  IT</v>
      </c>
      <c r="P161" s="1" t="str">
        <f t="shared" si="26"/>
        <v>Nik</v>
      </c>
    </row>
    <row r="162" spans="1:16" x14ac:dyDescent="0.3">
      <c r="A162" s="1">
        <v>1161</v>
      </c>
      <c r="B162" s="1" t="s">
        <v>29</v>
      </c>
      <c r="C162" s="1" t="s">
        <v>19</v>
      </c>
      <c r="D162" s="1" t="s">
        <v>12</v>
      </c>
      <c r="E162" s="1">
        <v>55331</v>
      </c>
      <c r="F162" s="1">
        <v>5247</v>
      </c>
      <c r="G162" s="24">
        <v>5</v>
      </c>
      <c r="H162" s="27" t="str">
        <f t="shared" si="18"/>
        <v>Es</v>
      </c>
      <c r="I162" s="28" t="str">
        <f t="shared" si="19"/>
        <v>ha</v>
      </c>
      <c r="J162" s="27">
        <f t="shared" si="20"/>
        <v>4</v>
      </c>
      <c r="K162" s="1" t="str">
        <f t="shared" si="21"/>
        <v>ESHA</v>
      </c>
      <c r="L162" s="1" t="str">
        <f t="shared" si="22"/>
        <v>esha</v>
      </c>
      <c r="M162" s="1" t="str">
        <f t="shared" si="23"/>
        <v>Esha</v>
      </c>
      <c r="N162" s="1" t="str">
        <f t="shared" si="24"/>
        <v>Esha - Sales</v>
      </c>
      <c r="O162" s="1" t="str">
        <f t="shared" si="25"/>
        <v>Esha  Sales</v>
      </c>
      <c r="P162" s="1" t="str">
        <f t="shared" si="26"/>
        <v>Esh</v>
      </c>
    </row>
    <row r="163" spans="1:16" x14ac:dyDescent="0.3">
      <c r="A163" s="1">
        <v>1162</v>
      </c>
      <c r="B163" s="1" t="s">
        <v>20</v>
      </c>
      <c r="C163" s="1" t="s">
        <v>19</v>
      </c>
      <c r="D163" s="1" t="s">
        <v>15</v>
      </c>
      <c r="E163" s="1">
        <v>64798</v>
      </c>
      <c r="F163" s="1">
        <v>9017</v>
      </c>
      <c r="G163" s="24">
        <v>5</v>
      </c>
      <c r="H163" s="27" t="str">
        <f t="shared" si="18"/>
        <v>Gi</v>
      </c>
      <c r="I163" s="28" t="str">
        <f t="shared" si="19"/>
        <v>ri</v>
      </c>
      <c r="J163" s="27">
        <f t="shared" si="20"/>
        <v>4</v>
      </c>
      <c r="K163" s="1" t="str">
        <f t="shared" si="21"/>
        <v>GIRI</v>
      </c>
      <c r="L163" s="1" t="str">
        <f t="shared" si="22"/>
        <v>giri</v>
      </c>
      <c r="M163" s="1" t="str">
        <f t="shared" si="23"/>
        <v>Giri</v>
      </c>
      <c r="N163" s="1" t="str">
        <f t="shared" si="24"/>
        <v>Giri - Sales</v>
      </c>
      <c r="O163" s="1" t="str">
        <f t="shared" si="25"/>
        <v>Giri  Sales</v>
      </c>
      <c r="P163" s="1" t="str">
        <f t="shared" si="26"/>
        <v>Gir</v>
      </c>
    </row>
    <row r="164" spans="1:16" x14ac:dyDescent="0.3">
      <c r="A164" s="1">
        <v>1163</v>
      </c>
      <c r="B164" s="1" t="s">
        <v>30</v>
      </c>
      <c r="C164" s="1" t="s">
        <v>14</v>
      </c>
      <c r="D164" s="1" t="s">
        <v>15</v>
      </c>
      <c r="E164" s="1">
        <v>63306</v>
      </c>
      <c r="F164" s="1">
        <v>2001</v>
      </c>
      <c r="G164" s="24">
        <v>2</v>
      </c>
      <c r="H164" s="27" t="str">
        <f t="shared" si="18"/>
        <v>Ir</v>
      </c>
      <c r="I164" s="28" t="str">
        <f t="shared" si="19"/>
        <v>an</v>
      </c>
      <c r="J164" s="27">
        <f t="shared" si="20"/>
        <v>5</v>
      </c>
      <c r="K164" s="1" t="str">
        <f t="shared" si="21"/>
        <v>IRFAN</v>
      </c>
      <c r="L164" s="1" t="str">
        <f t="shared" si="22"/>
        <v>irfan</v>
      </c>
      <c r="M164" s="1" t="str">
        <f t="shared" si="23"/>
        <v>Irfan</v>
      </c>
      <c r="N164" s="1" t="str">
        <f t="shared" si="24"/>
        <v>Irfan - HR</v>
      </c>
      <c r="O164" s="1" t="str">
        <f t="shared" si="25"/>
        <v>Irfan  HR</v>
      </c>
      <c r="P164" s="1" t="str">
        <f t="shared" si="26"/>
        <v>Irf</v>
      </c>
    </row>
    <row r="165" spans="1:16" x14ac:dyDescent="0.3">
      <c r="A165" s="1">
        <v>1164</v>
      </c>
      <c r="B165" s="1" t="s">
        <v>27</v>
      </c>
      <c r="C165" s="1" t="s">
        <v>14</v>
      </c>
      <c r="D165" s="1" t="s">
        <v>12</v>
      </c>
      <c r="E165" s="1">
        <v>71398</v>
      </c>
      <c r="F165" s="1">
        <v>5683</v>
      </c>
      <c r="G165" s="24">
        <v>6</v>
      </c>
      <c r="H165" s="27" t="str">
        <f t="shared" si="18"/>
        <v>He</v>
      </c>
      <c r="I165" s="28" t="str">
        <f t="shared" si="19"/>
        <v>ma</v>
      </c>
      <c r="J165" s="27">
        <f t="shared" si="20"/>
        <v>4</v>
      </c>
      <c r="K165" s="1" t="str">
        <f t="shared" si="21"/>
        <v>HEMA</v>
      </c>
      <c r="L165" s="1" t="str">
        <f t="shared" si="22"/>
        <v>hema</v>
      </c>
      <c r="M165" s="1" t="str">
        <f t="shared" si="23"/>
        <v>Hema</v>
      </c>
      <c r="N165" s="1" t="str">
        <f t="shared" si="24"/>
        <v>Hema - HR</v>
      </c>
      <c r="O165" s="1" t="str">
        <f t="shared" si="25"/>
        <v>Hema  HR</v>
      </c>
      <c r="P165" s="1" t="str">
        <f t="shared" si="26"/>
        <v>Hem</v>
      </c>
    </row>
    <row r="166" spans="1:16" x14ac:dyDescent="0.3">
      <c r="A166" s="1">
        <v>1165</v>
      </c>
      <c r="B166" s="1" t="s">
        <v>26</v>
      </c>
      <c r="C166" s="1" t="s">
        <v>19</v>
      </c>
      <c r="D166" s="1" t="s">
        <v>9</v>
      </c>
      <c r="E166" s="1">
        <v>21242</v>
      </c>
      <c r="F166" s="1">
        <v>4151</v>
      </c>
      <c r="G166" s="24">
        <v>8</v>
      </c>
      <c r="H166" s="27" t="str">
        <f t="shared" si="18"/>
        <v>Ch</v>
      </c>
      <c r="I166" s="28" t="str">
        <f t="shared" si="19"/>
        <v>an</v>
      </c>
      <c r="J166" s="27">
        <f t="shared" si="20"/>
        <v>6</v>
      </c>
      <c r="K166" s="1" t="str">
        <f t="shared" si="21"/>
        <v>CHARAN</v>
      </c>
      <c r="L166" s="1" t="str">
        <f t="shared" si="22"/>
        <v>charan</v>
      </c>
      <c r="M166" s="1" t="str">
        <f t="shared" si="23"/>
        <v>Charan</v>
      </c>
      <c r="N166" s="1" t="str">
        <f t="shared" si="24"/>
        <v>Charan - Sales</v>
      </c>
      <c r="O166" s="1" t="str">
        <f t="shared" si="25"/>
        <v>Charan  Sales</v>
      </c>
      <c r="P166" s="1" t="str">
        <f t="shared" si="26"/>
        <v>Cha</v>
      </c>
    </row>
    <row r="167" spans="1:16" x14ac:dyDescent="0.3">
      <c r="A167" s="1">
        <v>1166</v>
      </c>
      <c r="B167" s="1" t="s">
        <v>30</v>
      </c>
      <c r="C167" s="1" t="s">
        <v>14</v>
      </c>
      <c r="D167" s="1" t="s">
        <v>12</v>
      </c>
      <c r="E167" s="1">
        <v>46098</v>
      </c>
      <c r="F167" s="1">
        <v>2242</v>
      </c>
      <c r="G167" s="24">
        <v>2</v>
      </c>
      <c r="H167" s="27" t="str">
        <f t="shared" si="18"/>
        <v>Ir</v>
      </c>
      <c r="I167" s="28" t="str">
        <f t="shared" si="19"/>
        <v>an</v>
      </c>
      <c r="J167" s="27">
        <f t="shared" si="20"/>
        <v>5</v>
      </c>
      <c r="K167" s="1" t="str">
        <f t="shared" si="21"/>
        <v>IRFAN</v>
      </c>
      <c r="L167" s="1" t="str">
        <f t="shared" si="22"/>
        <v>irfan</v>
      </c>
      <c r="M167" s="1" t="str">
        <f t="shared" si="23"/>
        <v>Irfan</v>
      </c>
      <c r="N167" s="1" t="str">
        <f t="shared" si="24"/>
        <v>Irfan - HR</v>
      </c>
      <c r="O167" s="1" t="str">
        <f t="shared" si="25"/>
        <v>Irfan  HR</v>
      </c>
      <c r="P167" s="1" t="str">
        <f t="shared" si="26"/>
        <v>Irf</v>
      </c>
    </row>
    <row r="168" spans="1:16" x14ac:dyDescent="0.3">
      <c r="A168" s="1">
        <v>1167</v>
      </c>
      <c r="B168" s="1" t="s">
        <v>34</v>
      </c>
      <c r="C168" s="1" t="s">
        <v>8</v>
      </c>
      <c r="D168" s="1" t="s">
        <v>15</v>
      </c>
      <c r="E168" s="1">
        <v>78975</v>
      </c>
      <c r="F168" s="1">
        <v>7971</v>
      </c>
      <c r="G168" s="24">
        <v>1</v>
      </c>
      <c r="H168" s="27" t="str">
        <f t="shared" si="18"/>
        <v>Ar</v>
      </c>
      <c r="I168" s="28" t="str">
        <f t="shared" si="19"/>
        <v>un</v>
      </c>
      <c r="J168" s="27">
        <f t="shared" si="20"/>
        <v>4</v>
      </c>
      <c r="K168" s="1" t="str">
        <f t="shared" si="21"/>
        <v>ARUN</v>
      </c>
      <c r="L168" s="1" t="str">
        <f t="shared" si="22"/>
        <v>arun</v>
      </c>
      <c r="M168" s="1" t="str">
        <f t="shared" si="23"/>
        <v>Arun</v>
      </c>
      <c r="N168" s="1" t="str">
        <f t="shared" si="24"/>
        <v>Arun - IT</v>
      </c>
      <c r="O168" s="1" t="str">
        <f t="shared" si="25"/>
        <v>Arun  IT</v>
      </c>
      <c r="P168" s="1" t="str">
        <f t="shared" si="26"/>
        <v>Aru</v>
      </c>
    </row>
    <row r="169" spans="1:16" x14ac:dyDescent="0.3">
      <c r="A169" s="1">
        <v>1168</v>
      </c>
      <c r="B169" s="1" t="s">
        <v>16</v>
      </c>
      <c r="C169" s="1" t="s">
        <v>19</v>
      </c>
      <c r="D169" s="1" t="s">
        <v>12</v>
      </c>
      <c r="E169" s="1">
        <v>26070</v>
      </c>
      <c r="F169" s="1">
        <v>6110</v>
      </c>
      <c r="G169" s="24">
        <v>8</v>
      </c>
      <c r="H169" s="27" t="str">
        <f t="shared" si="18"/>
        <v>Fa</v>
      </c>
      <c r="I169" s="28" t="str">
        <f t="shared" si="19"/>
        <v>an</v>
      </c>
      <c r="J169" s="27">
        <f t="shared" si="20"/>
        <v>6</v>
      </c>
      <c r="K169" s="1" t="str">
        <f t="shared" si="21"/>
        <v>FARHAN</v>
      </c>
      <c r="L169" s="1" t="str">
        <f t="shared" si="22"/>
        <v>farhan</v>
      </c>
      <c r="M169" s="1" t="str">
        <f t="shared" si="23"/>
        <v>Farhan</v>
      </c>
      <c r="N169" s="1" t="str">
        <f t="shared" si="24"/>
        <v>Farhan - Sales</v>
      </c>
      <c r="O169" s="1" t="str">
        <f t="shared" si="25"/>
        <v>Farhan  Sales</v>
      </c>
      <c r="P169" s="1" t="str">
        <f t="shared" si="26"/>
        <v>Far</v>
      </c>
    </row>
    <row r="170" spans="1:16" x14ac:dyDescent="0.3">
      <c r="A170" s="1">
        <v>1169</v>
      </c>
      <c r="B170" s="1" t="s">
        <v>25</v>
      </c>
      <c r="C170" s="1" t="s">
        <v>19</v>
      </c>
      <c r="D170" s="1" t="s">
        <v>9</v>
      </c>
      <c r="E170" s="1">
        <v>20631</v>
      </c>
      <c r="F170" s="1">
        <v>2822</v>
      </c>
      <c r="G170" s="24">
        <v>3</v>
      </c>
      <c r="H170" s="27" t="str">
        <f t="shared" si="18"/>
        <v>Sa</v>
      </c>
      <c r="I170" s="28" t="str">
        <f t="shared" si="19"/>
        <v>ra</v>
      </c>
      <c r="J170" s="27">
        <f t="shared" si="20"/>
        <v>4</v>
      </c>
      <c r="K170" s="1" t="str">
        <f t="shared" si="21"/>
        <v>SARA</v>
      </c>
      <c r="L170" s="1" t="str">
        <f t="shared" si="22"/>
        <v>sara</v>
      </c>
      <c r="M170" s="1" t="str">
        <f t="shared" si="23"/>
        <v>Sara</v>
      </c>
      <c r="N170" s="1" t="str">
        <f t="shared" si="24"/>
        <v>Sara - Sales</v>
      </c>
      <c r="O170" s="1" t="str">
        <f t="shared" si="25"/>
        <v>Sara  Sales</v>
      </c>
      <c r="P170" s="1" t="str">
        <f t="shared" si="26"/>
        <v>Sar</v>
      </c>
    </row>
    <row r="171" spans="1:16" x14ac:dyDescent="0.3">
      <c r="A171" s="1">
        <v>1170</v>
      </c>
      <c r="B171" s="1" t="s">
        <v>17</v>
      </c>
      <c r="C171" s="1" t="s">
        <v>19</v>
      </c>
      <c r="D171" s="1" t="s">
        <v>9</v>
      </c>
      <c r="E171" s="1">
        <v>35132</v>
      </c>
      <c r="F171" s="1">
        <v>8238</v>
      </c>
      <c r="G171" s="24">
        <v>3</v>
      </c>
      <c r="H171" s="27" t="str">
        <f t="shared" si="18"/>
        <v>Ki</v>
      </c>
      <c r="I171" s="28" t="str">
        <f t="shared" si="19"/>
        <v>an</v>
      </c>
      <c r="J171" s="27">
        <f t="shared" si="20"/>
        <v>5</v>
      </c>
      <c r="K171" s="1" t="str">
        <f t="shared" si="21"/>
        <v>KIRAN</v>
      </c>
      <c r="L171" s="1" t="str">
        <f t="shared" si="22"/>
        <v>kiran</v>
      </c>
      <c r="M171" s="1" t="str">
        <f t="shared" si="23"/>
        <v>Kiran</v>
      </c>
      <c r="N171" s="1" t="str">
        <f t="shared" si="24"/>
        <v>Kiran - Sales</v>
      </c>
      <c r="O171" s="1" t="str">
        <f t="shared" si="25"/>
        <v>Kiran  Sales</v>
      </c>
      <c r="P171" s="1" t="str">
        <f t="shared" si="26"/>
        <v>Kir</v>
      </c>
    </row>
    <row r="172" spans="1:16" x14ac:dyDescent="0.3">
      <c r="A172" s="1">
        <v>1171</v>
      </c>
      <c r="B172" s="1" t="s">
        <v>27</v>
      </c>
      <c r="C172" s="1" t="s">
        <v>19</v>
      </c>
      <c r="D172" s="1" t="s">
        <v>21</v>
      </c>
      <c r="E172" s="1">
        <v>44462</v>
      </c>
      <c r="F172" s="1">
        <v>9032</v>
      </c>
      <c r="G172" s="24">
        <v>3</v>
      </c>
      <c r="H172" s="27" t="str">
        <f t="shared" si="18"/>
        <v>He</v>
      </c>
      <c r="I172" s="28" t="str">
        <f t="shared" si="19"/>
        <v>ma</v>
      </c>
      <c r="J172" s="27">
        <f t="shared" si="20"/>
        <v>4</v>
      </c>
      <c r="K172" s="1" t="str">
        <f t="shared" si="21"/>
        <v>HEMA</v>
      </c>
      <c r="L172" s="1" t="str">
        <f t="shared" si="22"/>
        <v>hema</v>
      </c>
      <c r="M172" s="1" t="str">
        <f t="shared" si="23"/>
        <v>Hema</v>
      </c>
      <c r="N172" s="1" t="str">
        <f t="shared" si="24"/>
        <v>Hema - Sales</v>
      </c>
      <c r="O172" s="1" t="str">
        <f t="shared" si="25"/>
        <v>Hema  Sales</v>
      </c>
      <c r="P172" s="1" t="str">
        <f t="shared" si="26"/>
        <v>Hem</v>
      </c>
    </row>
    <row r="173" spans="1:16" x14ac:dyDescent="0.3">
      <c r="A173" s="1">
        <v>1172</v>
      </c>
      <c r="B173" s="1" t="s">
        <v>28</v>
      </c>
      <c r="C173" s="1" t="s">
        <v>11</v>
      </c>
      <c r="D173" s="1" t="s">
        <v>9</v>
      </c>
      <c r="E173" s="1">
        <v>34266</v>
      </c>
      <c r="F173" s="1">
        <v>3393</v>
      </c>
      <c r="G173" s="24">
        <v>8</v>
      </c>
      <c r="H173" s="27" t="str">
        <f t="shared" si="18"/>
        <v>Ra</v>
      </c>
      <c r="I173" s="28" t="str">
        <f t="shared" si="19"/>
        <v>vi</v>
      </c>
      <c r="J173" s="27">
        <f t="shared" si="20"/>
        <v>4</v>
      </c>
      <c r="K173" s="1" t="str">
        <f t="shared" si="21"/>
        <v>RAVI</v>
      </c>
      <c r="L173" s="1" t="str">
        <f t="shared" si="22"/>
        <v>ravi</v>
      </c>
      <c r="M173" s="1" t="str">
        <f t="shared" si="23"/>
        <v>Ravi</v>
      </c>
      <c r="N173" s="1" t="str">
        <f t="shared" si="24"/>
        <v>Ravi - Finance</v>
      </c>
      <c r="O173" s="1" t="str">
        <f t="shared" si="25"/>
        <v>Ravi  Finance</v>
      </c>
      <c r="P173" s="1" t="str">
        <f t="shared" si="26"/>
        <v>Rav</v>
      </c>
    </row>
    <row r="174" spans="1:16" x14ac:dyDescent="0.3">
      <c r="A174" s="1">
        <v>1173</v>
      </c>
      <c r="B174" s="1" t="s">
        <v>13</v>
      </c>
      <c r="C174" s="1" t="s">
        <v>11</v>
      </c>
      <c r="D174" s="1" t="s">
        <v>21</v>
      </c>
      <c r="E174" s="1">
        <v>30560</v>
      </c>
      <c r="F174" s="1">
        <v>1838</v>
      </c>
      <c r="G174" s="24">
        <v>5</v>
      </c>
      <c r="H174" s="27" t="str">
        <f t="shared" si="18"/>
        <v>Te</v>
      </c>
      <c r="I174" s="28" t="str">
        <f t="shared" si="19"/>
        <v>ja</v>
      </c>
      <c r="J174" s="27">
        <f t="shared" si="20"/>
        <v>4</v>
      </c>
      <c r="K174" s="1" t="str">
        <f t="shared" si="21"/>
        <v>TEJA</v>
      </c>
      <c r="L174" s="1" t="str">
        <f t="shared" si="22"/>
        <v>teja</v>
      </c>
      <c r="M174" s="1" t="str">
        <f t="shared" si="23"/>
        <v>Teja</v>
      </c>
      <c r="N174" s="1" t="str">
        <f t="shared" si="24"/>
        <v>Teja - Finance</v>
      </c>
      <c r="O174" s="1" t="str">
        <f t="shared" si="25"/>
        <v>Teja  Finance</v>
      </c>
      <c r="P174" s="1" t="str">
        <f t="shared" si="26"/>
        <v>Tej</v>
      </c>
    </row>
    <row r="175" spans="1:16" x14ac:dyDescent="0.3">
      <c r="A175" s="1">
        <v>1174</v>
      </c>
      <c r="B175" s="1" t="s">
        <v>28</v>
      </c>
      <c r="C175" s="1" t="s">
        <v>8</v>
      </c>
      <c r="D175" s="1" t="s">
        <v>9</v>
      </c>
      <c r="E175" s="1">
        <v>51855</v>
      </c>
      <c r="F175" s="1">
        <v>9985</v>
      </c>
      <c r="G175" s="24">
        <v>10</v>
      </c>
      <c r="H175" s="27" t="str">
        <f t="shared" si="18"/>
        <v>Ra</v>
      </c>
      <c r="I175" s="28" t="str">
        <f t="shared" si="19"/>
        <v>vi</v>
      </c>
      <c r="J175" s="27">
        <f t="shared" si="20"/>
        <v>4</v>
      </c>
      <c r="K175" s="1" t="str">
        <f t="shared" si="21"/>
        <v>RAVI</v>
      </c>
      <c r="L175" s="1" t="str">
        <f t="shared" si="22"/>
        <v>ravi</v>
      </c>
      <c r="M175" s="1" t="str">
        <f t="shared" si="23"/>
        <v>Ravi</v>
      </c>
      <c r="N175" s="1" t="str">
        <f t="shared" si="24"/>
        <v>Ravi - IT</v>
      </c>
      <c r="O175" s="1" t="str">
        <f t="shared" si="25"/>
        <v>Ravi  IT</v>
      </c>
      <c r="P175" s="1" t="str">
        <f t="shared" si="26"/>
        <v>Rav</v>
      </c>
    </row>
    <row r="176" spans="1:16" x14ac:dyDescent="0.3">
      <c r="A176" s="1">
        <v>1175</v>
      </c>
      <c r="B176" s="1" t="s">
        <v>18</v>
      </c>
      <c r="C176" s="1" t="s">
        <v>19</v>
      </c>
      <c r="D176" s="1" t="s">
        <v>21</v>
      </c>
      <c r="E176" s="1">
        <v>35005</v>
      </c>
      <c r="F176" s="1">
        <v>3384</v>
      </c>
      <c r="G176" s="24">
        <v>7</v>
      </c>
      <c r="H176" s="27" t="str">
        <f t="shared" si="18"/>
        <v>Ni</v>
      </c>
      <c r="I176" s="28" t="str">
        <f t="shared" si="19"/>
        <v>il</v>
      </c>
      <c r="J176" s="27">
        <f t="shared" si="20"/>
        <v>6</v>
      </c>
      <c r="K176" s="1" t="str">
        <f t="shared" si="21"/>
        <v>NIKHIL</v>
      </c>
      <c r="L176" s="1" t="str">
        <f t="shared" si="22"/>
        <v>nikhil</v>
      </c>
      <c r="M176" s="1" t="str">
        <f t="shared" si="23"/>
        <v>Nikhil</v>
      </c>
      <c r="N176" s="1" t="str">
        <f t="shared" si="24"/>
        <v>Nikhil - Sales</v>
      </c>
      <c r="O176" s="1" t="str">
        <f t="shared" si="25"/>
        <v>Nikhil  Sales</v>
      </c>
      <c r="P176" s="1" t="str">
        <f t="shared" si="26"/>
        <v>Nik</v>
      </c>
    </row>
    <row r="177" spans="1:16" x14ac:dyDescent="0.3">
      <c r="A177" s="1">
        <v>1176</v>
      </c>
      <c r="B177" s="1" t="s">
        <v>31</v>
      </c>
      <c r="C177" s="1" t="s">
        <v>11</v>
      </c>
      <c r="D177" s="1" t="s">
        <v>12</v>
      </c>
      <c r="E177" s="1">
        <v>37553</v>
      </c>
      <c r="F177" s="1">
        <v>6097</v>
      </c>
      <c r="G177" s="24">
        <v>1</v>
      </c>
      <c r="H177" s="27" t="str">
        <f t="shared" si="18"/>
        <v>Om</v>
      </c>
      <c r="I177" s="28" t="str">
        <f t="shared" si="19"/>
        <v>Om</v>
      </c>
      <c r="J177" s="27">
        <f t="shared" si="20"/>
        <v>2</v>
      </c>
      <c r="K177" s="1" t="str">
        <f t="shared" si="21"/>
        <v>OM</v>
      </c>
      <c r="L177" s="1" t="str">
        <f t="shared" si="22"/>
        <v>om</v>
      </c>
      <c r="M177" s="1" t="str">
        <f t="shared" si="23"/>
        <v>Om</v>
      </c>
      <c r="N177" s="1" t="str">
        <f t="shared" si="24"/>
        <v>Om - Finance</v>
      </c>
      <c r="O177" s="1" t="str">
        <f t="shared" si="25"/>
        <v>Om  Finance</v>
      </c>
      <c r="P177" s="1" t="str">
        <f t="shared" si="26"/>
        <v>Om</v>
      </c>
    </row>
    <row r="178" spans="1:16" x14ac:dyDescent="0.3">
      <c r="A178" s="1">
        <v>1177</v>
      </c>
      <c r="B178" s="1" t="s">
        <v>20</v>
      </c>
      <c r="C178" s="1" t="s">
        <v>11</v>
      </c>
      <c r="D178" s="1" t="s">
        <v>12</v>
      </c>
      <c r="E178" s="1">
        <v>58007</v>
      </c>
      <c r="F178" s="1">
        <v>4127</v>
      </c>
      <c r="G178" s="24">
        <v>6</v>
      </c>
      <c r="H178" s="27" t="str">
        <f t="shared" si="18"/>
        <v>Gi</v>
      </c>
      <c r="I178" s="28" t="str">
        <f t="shared" si="19"/>
        <v>ri</v>
      </c>
      <c r="J178" s="27">
        <f t="shared" si="20"/>
        <v>4</v>
      </c>
      <c r="K178" s="1" t="str">
        <f t="shared" si="21"/>
        <v>GIRI</v>
      </c>
      <c r="L178" s="1" t="str">
        <f t="shared" si="22"/>
        <v>giri</v>
      </c>
      <c r="M178" s="1" t="str">
        <f t="shared" si="23"/>
        <v>Giri</v>
      </c>
      <c r="N178" s="1" t="str">
        <f t="shared" si="24"/>
        <v>Giri - Finance</v>
      </c>
      <c r="O178" s="1" t="str">
        <f t="shared" si="25"/>
        <v>Giri  Finance</v>
      </c>
      <c r="P178" s="1" t="str">
        <f t="shared" si="26"/>
        <v>Gir</v>
      </c>
    </row>
    <row r="179" spans="1:16" x14ac:dyDescent="0.3">
      <c r="A179" s="1">
        <v>1178</v>
      </c>
      <c r="B179" s="1" t="s">
        <v>26</v>
      </c>
      <c r="C179" s="1" t="s">
        <v>8</v>
      </c>
      <c r="D179" s="1" t="s">
        <v>12</v>
      </c>
      <c r="E179" s="1">
        <v>44886</v>
      </c>
      <c r="F179" s="1">
        <v>3752</v>
      </c>
      <c r="G179" s="24">
        <v>8</v>
      </c>
      <c r="H179" s="27" t="str">
        <f t="shared" si="18"/>
        <v>Ch</v>
      </c>
      <c r="I179" s="28" t="str">
        <f t="shared" si="19"/>
        <v>an</v>
      </c>
      <c r="J179" s="27">
        <f t="shared" si="20"/>
        <v>6</v>
      </c>
      <c r="K179" s="1" t="str">
        <f t="shared" si="21"/>
        <v>CHARAN</v>
      </c>
      <c r="L179" s="1" t="str">
        <f t="shared" si="22"/>
        <v>charan</v>
      </c>
      <c r="M179" s="1" t="str">
        <f t="shared" si="23"/>
        <v>Charan</v>
      </c>
      <c r="N179" s="1" t="str">
        <f t="shared" si="24"/>
        <v>Charan - IT</v>
      </c>
      <c r="O179" s="1" t="str">
        <f t="shared" si="25"/>
        <v>Charan  IT</v>
      </c>
      <c r="P179" s="1" t="str">
        <f t="shared" si="26"/>
        <v>Cha</v>
      </c>
    </row>
    <row r="180" spans="1:16" x14ac:dyDescent="0.3">
      <c r="A180" s="1">
        <v>1179</v>
      </c>
      <c r="B180" s="1" t="s">
        <v>31</v>
      </c>
      <c r="C180" s="1" t="s">
        <v>8</v>
      </c>
      <c r="D180" s="1" t="s">
        <v>12</v>
      </c>
      <c r="E180" s="1">
        <v>21895</v>
      </c>
      <c r="F180" s="1">
        <v>5325</v>
      </c>
      <c r="G180" s="24">
        <v>9</v>
      </c>
      <c r="H180" s="27" t="str">
        <f t="shared" si="18"/>
        <v>Om</v>
      </c>
      <c r="I180" s="28" t="str">
        <f t="shared" si="19"/>
        <v>Om</v>
      </c>
      <c r="J180" s="27">
        <f t="shared" si="20"/>
        <v>2</v>
      </c>
      <c r="K180" s="1" t="str">
        <f t="shared" si="21"/>
        <v>OM</v>
      </c>
      <c r="L180" s="1" t="str">
        <f t="shared" si="22"/>
        <v>om</v>
      </c>
      <c r="M180" s="1" t="str">
        <f t="shared" si="23"/>
        <v>Om</v>
      </c>
      <c r="N180" s="1" t="str">
        <f t="shared" si="24"/>
        <v>Om - IT</v>
      </c>
      <c r="O180" s="1" t="str">
        <f t="shared" si="25"/>
        <v>Om  IT</v>
      </c>
      <c r="P180" s="1" t="str">
        <f t="shared" si="26"/>
        <v>Om</v>
      </c>
    </row>
    <row r="181" spans="1:16" x14ac:dyDescent="0.3">
      <c r="A181" s="1">
        <v>1180</v>
      </c>
      <c r="B181" s="1" t="s">
        <v>27</v>
      </c>
      <c r="C181" s="1" t="s">
        <v>14</v>
      </c>
      <c r="D181" s="1" t="s">
        <v>9</v>
      </c>
      <c r="E181" s="1">
        <v>67885</v>
      </c>
      <c r="F181" s="1">
        <v>8490</v>
      </c>
      <c r="G181" s="24">
        <v>2</v>
      </c>
      <c r="H181" s="27" t="str">
        <f t="shared" si="18"/>
        <v>He</v>
      </c>
      <c r="I181" s="28" t="str">
        <f t="shared" si="19"/>
        <v>ma</v>
      </c>
      <c r="J181" s="27">
        <f t="shared" si="20"/>
        <v>4</v>
      </c>
      <c r="K181" s="1" t="str">
        <f t="shared" si="21"/>
        <v>HEMA</v>
      </c>
      <c r="L181" s="1" t="str">
        <f t="shared" si="22"/>
        <v>hema</v>
      </c>
      <c r="M181" s="1" t="str">
        <f t="shared" si="23"/>
        <v>Hema</v>
      </c>
      <c r="N181" s="1" t="str">
        <f t="shared" si="24"/>
        <v>Hema - HR</v>
      </c>
      <c r="O181" s="1" t="str">
        <f t="shared" si="25"/>
        <v>Hema  HR</v>
      </c>
      <c r="P181" s="1" t="str">
        <f t="shared" si="26"/>
        <v>Hem</v>
      </c>
    </row>
    <row r="182" spans="1:16" x14ac:dyDescent="0.3">
      <c r="A182" s="1">
        <v>1181</v>
      </c>
      <c r="B182" s="1" t="s">
        <v>33</v>
      </c>
      <c r="C182" s="1" t="s">
        <v>14</v>
      </c>
      <c r="D182" s="1" t="s">
        <v>12</v>
      </c>
      <c r="E182" s="1">
        <v>54803</v>
      </c>
      <c r="F182" s="1">
        <v>9775</v>
      </c>
      <c r="G182" s="24">
        <v>6</v>
      </c>
      <c r="H182" s="27" t="str">
        <f t="shared" si="18"/>
        <v>Da</v>
      </c>
      <c r="I182" s="28" t="str">
        <f t="shared" si="19"/>
        <v>id</v>
      </c>
      <c r="J182" s="27">
        <f t="shared" si="20"/>
        <v>5</v>
      </c>
      <c r="K182" s="1" t="str">
        <f t="shared" si="21"/>
        <v>DAVID</v>
      </c>
      <c r="L182" s="1" t="str">
        <f t="shared" si="22"/>
        <v>david</v>
      </c>
      <c r="M182" s="1" t="str">
        <f t="shared" si="23"/>
        <v>David</v>
      </c>
      <c r="N182" s="1" t="str">
        <f t="shared" si="24"/>
        <v>David - HR</v>
      </c>
      <c r="O182" s="1" t="str">
        <f t="shared" si="25"/>
        <v>David  HR</v>
      </c>
      <c r="P182" s="1" t="str">
        <f t="shared" si="26"/>
        <v>Dav</v>
      </c>
    </row>
    <row r="183" spans="1:16" x14ac:dyDescent="0.3">
      <c r="A183" s="1">
        <v>1182</v>
      </c>
      <c r="B183" s="1" t="s">
        <v>20</v>
      </c>
      <c r="C183" s="1" t="s">
        <v>14</v>
      </c>
      <c r="D183" s="1" t="s">
        <v>15</v>
      </c>
      <c r="E183" s="1">
        <v>33998</v>
      </c>
      <c r="F183" s="1">
        <v>9740</v>
      </c>
      <c r="G183" s="24">
        <v>1</v>
      </c>
      <c r="H183" s="27" t="str">
        <f t="shared" si="18"/>
        <v>Gi</v>
      </c>
      <c r="I183" s="28" t="str">
        <f t="shared" si="19"/>
        <v>ri</v>
      </c>
      <c r="J183" s="27">
        <f t="shared" si="20"/>
        <v>4</v>
      </c>
      <c r="K183" s="1" t="str">
        <f t="shared" si="21"/>
        <v>GIRI</v>
      </c>
      <c r="L183" s="1" t="str">
        <f t="shared" si="22"/>
        <v>giri</v>
      </c>
      <c r="M183" s="1" t="str">
        <f t="shared" si="23"/>
        <v>Giri</v>
      </c>
      <c r="N183" s="1" t="str">
        <f t="shared" si="24"/>
        <v>Giri - HR</v>
      </c>
      <c r="O183" s="1" t="str">
        <f t="shared" si="25"/>
        <v>Giri  HR</v>
      </c>
      <c r="P183" s="1" t="str">
        <f t="shared" si="26"/>
        <v>Gir</v>
      </c>
    </row>
    <row r="184" spans="1:16" x14ac:dyDescent="0.3">
      <c r="A184" s="1">
        <v>1183</v>
      </c>
      <c r="B184" s="1" t="s">
        <v>13</v>
      </c>
      <c r="C184" s="1" t="s">
        <v>14</v>
      </c>
      <c r="D184" s="1" t="s">
        <v>15</v>
      </c>
      <c r="E184" s="1">
        <v>42192</v>
      </c>
      <c r="F184" s="1">
        <v>4501</v>
      </c>
      <c r="G184" s="24">
        <v>1</v>
      </c>
      <c r="H184" s="27" t="str">
        <f t="shared" si="18"/>
        <v>Te</v>
      </c>
      <c r="I184" s="28" t="str">
        <f t="shared" si="19"/>
        <v>ja</v>
      </c>
      <c r="J184" s="27">
        <f t="shared" si="20"/>
        <v>4</v>
      </c>
      <c r="K184" s="1" t="str">
        <f t="shared" si="21"/>
        <v>TEJA</v>
      </c>
      <c r="L184" s="1" t="str">
        <f t="shared" si="22"/>
        <v>teja</v>
      </c>
      <c r="M184" s="1" t="str">
        <f t="shared" si="23"/>
        <v>Teja</v>
      </c>
      <c r="N184" s="1" t="str">
        <f t="shared" si="24"/>
        <v>Teja - HR</v>
      </c>
      <c r="O184" s="1" t="str">
        <f t="shared" si="25"/>
        <v>Teja  HR</v>
      </c>
      <c r="P184" s="1" t="str">
        <f t="shared" si="26"/>
        <v>Tej</v>
      </c>
    </row>
    <row r="185" spans="1:16" x14ac:dyDescent="0.3">
      <c r="A185" s="1">
        <v>1184</v>
      </c>
      <c r="B185" s="1" t="s">
        <v>23</v>
      </c>
      <c r="C185" s="1" t="s">
        <v>11</v>
      </c>
      <c r="D185" s="1" t="s">
        <v>15</v>
      </c>
      <c r="E185" s="1">
        <v>38608</v>
      </c>
      <c r="F185" s="1">
        <v>1166</v>
      </c>
      <c r="G185" s="24">
        <v>7</v>
      </c>
      <c r="H185" s="27" t="str">
        <f t="shared" si="18"/>
        <v>Va</v>
      </c>
      <c r="I185" s="28" t="str">
        <f t="shared" si="19"/>
        <v>un</v>
      </c>
      <c r="J185" s="27">
        <f t="shared" si="20"/>
        <v>5</v>
      </c>
      <c r="K185" s="1" t="str">
        <f t="shared" si="21"/>
        <v>VARUN</v>
      </c>
      <c r="L185" s="1" t="str">
        <f t="shared" si="22"/>
        <v>varun</v>
      </c>
      <c r="M185" s="1" t="str">
        <f t="shared" si="23"/>
        <v>Varun</v>
      </c>
      <c r="N185" s="1" t="str">
        <f t="shared" si="24"/>
        <v>Varun - Finance</v>
      </c>
      <c r="O185" s="1" t="str">
        <f t="shared" si="25"/>
        <v>Varun  Finance</v>
      </c>
      <c r="P185" s="1" t="str">
        <f t="shared" si="26"/>
        <v>Var</v>
      </c>
    </row>
    <row r="186" spans="1:16" x14ac:dyDescent="0.3">
      <c r="A186" s="1">
        <v>1185</v>
      </c>
      <c r="B186" s="1" t="s">
        <v>30</v>
      </c>
      <c r="C186" s="1" t="s">
        <v>8</v>
      </c>
      <c r="D186" s="1" t="s">
        <v>9</v>
      </c>
      <c r="E186" s="1">
        <v>56134</v>
      </c>
      <c r="F186" s="1">
        <v>2119</v>
      </c>
      <c r="G186" s="24">
        <v>3</v>
      </c>
      <c r="H186" s="27" t="str">
        <f t="shared" si="18"/>
        <v>Ir</v>
      </c>
      <c r="I186" s="28" t="str">
        <f t="shared" si="19"/>
        <v>an</v>
      </c>
      <c r="J186" s="27">
        <f t="shared" si="20"/>
        <v>5</v>
      </c>
      <c r="K186" s="1" t="str">
        <f t="shared" si="21"/>
        <v>IRFAN</v>
      </c>
      <c r="L186" s="1" t="str">
        <f t="shared" si="22"/>
        <v>irfan</v>
      </c>
      <c r="M186" s="1" t="str">
        <f t="shared" si="23"/>
        <v>Irfan</v>
      </c>
      <c r="N186" s="1" t="str">
        <f t="shared" si="24"/>
        <v>Irfan - IT</v>
      </c>
      <c r="O186" s="1" t="str">
        <f t="shared" si="25"/>
        <v>Irfan  IT</v>
      </c>
      <c r="P186" s="1" t="str">
        <f t="shared" si="26"/>
        <v>Irf</v>
      </c>
    </row>
    <row r="187" spans="1:16" x14ac:dyDescent="0.3">
      <c r="A187" s="1">
        <v>1186</v>
      </c>
      <c r="B187" s="1" t="s">
        <v>27</v>
      </c>
      <c r="C187" s="1" t="s">
        <v>19</v>
      </c>
      <c r="D187" s="1" t="s">
        <v>9</v>
      </c>
      <c r="E187" s="1">
        <v>47213</v>
      </c>
      <c r="F187" s="1">
        <v>2028</v>
      </c>
      <c r="G187" s="24">
        <v>3</v>
      </c>
      <c r="H187" s="27" t="str">
        <f t="shared" si="18"/>
        <v>He</v>
      </c>
      <c r="I187" s="28" t="str">
        <f t="shared" si="19"/>
        <v>ma</v>
      </c>
      <c r="J187" s="27">
        <f t="shared" si="20"/>
        <v>4</v>
      </c>
      <c r="K187" s="1" t="str">
        <f t="shared" si="21"/>
        <v>HEMA</v>
      </c>
      <c r="L187" s="1" t="str">
        <f t="shared" si="22"/>
        <v>hema</v>
      </c>
      <c r="M187" s="1" t="str">
        <f t="shared" si="23"/>
        <v>Hema</v>
      </c>
      <c r="N187" s="1" t="str">
        <f t="shared" si="24"/>
        <v>Hema - Sales</v>
      </c>
      <c r="O187" s="1" t="str">
        <f t="shared" si="25"/>
        <v>Hema  Sales</v>
      </c>
      <c r="P187" s="1" t="str">
        <f t="shared" si="26"/>
        <v>Hem</v>
      </c>
    </row>
    <row r="188" spans="1:16" x14ac:dyDescent="0.3">
      <c r="A188" s="1">
        <v>1187</v>
      </c>
      <c r="B188" s="1" t="s">
        <v>7</v>
      </c>
      <c r="C188" s="1" t="s">
        <v>8</v>
      </c>
      <c r="D188" s="1" t="s">
        <v>9</v>
      </c>
      <c r="E188" s="1">
        <v>31666</v>
      </c>
      <c r="F188" s="1">
        <v>1066</v>
      </c>
      <c r="G188" s="24">
        <v>7</v>
      </c>
      <c r="H188" s="27" t="str">
        <f t="shared" si="18"/>
        <v>Jo</v>
      </c>
      <c r="I188" s="28" t="str">
        <f t="shared" si="19"/>
        <v>hn</v>
      </c>
      <c r="J188" s="27">
        <f t="shared" si="20"/>
        <v>4</v>
      </c>
      <c r="K188" s="1" t="str">
        <f t="shared" si="21"/>
        <v>JOHN</v>
      </c>
      <c r="L188" s="1" t="str">
        <f t="shared" si="22"/>
        <v>john</v>
      </c>
      <c r="M188" s="1" t="str">
        <f t="shared" si="23"/>
        <v>John</v>
      </c>
      <c r="N188" s="1" t="str">
        <f t="shared" si="24"/>
        <v>John - IT</v>
      </c>
      <c r="O188" s="1" t="str">
        <f t="shared" si="25"/>
        <v>John  IT</v>
      </c>
      <c r="P188" s="1" t="str">
        <f t="shared" si="26"/>
        <v>Joh</v>
      </c>
    </row>
    <row r="189" spans="1:16" x14ac:dyDescent="0.3">
      <c r="A189" s="1">
        <v>1188</v>
      </c>
      <c r="B189" s="1" t="s">
        <v>32</v>
      </c>
      <c r="C189" s="1" t="s">
        <v>8</v>
      </c>
      <c r="D189" s="1" t="s">
        <v>9</v>
      </c>
      <c r="E189" s="1">
        <v>32596</v>
      </c>
      <c r="F189" s="1">
        <v>1819</v>
      </c>
      <c r="G189" s="24">
        <v>10</v>
      </c>
      <c r="H189" s="27" t="str">
        <f t="shared" si="18"/>
        <v>Po</v>
      </c>
      <c r="I189" s="28" t="str">
        <f t="shared" si="19"/>
        <v>ja</v>
      </c>
      <c r="J189" s="27">
        <f t="shared" si="20"/>
        <v>5</v>
      </c>
      <c r="K189" s="1" t="str">
        <f t="shared" si="21"/>
        <v>POOJA</v>
      </c>
      <c r="L189" s="1" t="str">
        <f t="shared" si="22"/>
        <v>pooja</v>
      </c>
      <c r="M189" s="1" t="str">
        <f t="shared" si="23"/>
        <v>Pooja</v>
      </c>
      <c r="N189" s="1" t="str">
        <f t="shared" si="24"/>
        <v>Pooja - IT</v>
      </c>
      <c r="O189" s="1" t="str">
        <f t="shared" si="25"/>
        <v>Pooja  IT</v>
      </c>
      <c r="P189" s="1" t="str">
        <f t="shared" si="26"/>
        <v>Poo</v>
      </c>
    </row>
    <row r="190" spans="1:16" x14ac:dyDescent="0.3">
      <c r="A190" s="1">
        <v>1189</v>
      </c>
      <c r="B190" s="1" t="s">
        <v>30</v>
      </c>
      <c r="C190" s="1" t="s">
        <v>11</v>
      </c>
      <c r="D190" s="1" t="s">
        <v>12</v>
      </c>
      <c r="E190" s="1">
        <v>69517</v>
      </c>
      <c r="F190" s="1">
        <v>3075</v>
      </c>
      <c r="G190" s="24">
        <v>7</v>
      </c>
      <c r="H190" s="27" t="str">
        <f t="shared" si="18"/>
        <v>Ir</v>
      </c>
      <c r="I190" s="28" t="str">
        <f t="shared" si="19"/>
        <v>an</v>
      </c>
      <c r="J190" s="27">
        <f t="shared" si="20"/>
        <v>5</v>
      </c>
      <c r="K190" s="1" t="str">
        <f t="shared" si="21"/>
        <v>IRFAN</v>
      </c>
      <c r="L190" s="1" t="str">
        <f t="shared" si="22"/>
        <v>irfan</v>
      </c>
      <c r="M190" s="1" t="str">
        <f t="shared" si="23"/>
        <v>Irfan</v>
      </c>
      <c r="N190" s="1" t="str">
        <f t="shared" si="24"/>
        <v>Irfan - Finance</v>
      </c>
      <c r="O190" s="1" t="str">
        <f t="shared" si="25"/>
        <v>Irfan  Finance</v>
      </c>
      <c r="P190" s="1" t="str">
        <f t="shared" si="26"/>
        <v>Irf</v>
      </c>
    </row>
    <row r="191" spans="1:16" x14ac:dyDescent="0.3">
      <c r="A191" s="1">
        <v>1190</v>
      </c>
      <c r="B191" s="1" t="s">
        <v>7</v>
      </c>
      <c r="C191" s="1" t="s">
        <v>14</v>
      </c>
      <c r="D191" s="1" t="s">
        <v>15</v>
      </c>
      <c r="E191" s="1">
        <v>55079</v>
      </c>
      <c r="F191" s="1">
        <v>9032</v>
      </c>
      <c r="G191" s="24">
        <v>7</v>
      </c>
      <c r="H191" s="27" t="str">
        <f t="shared" si="18"/>
        <v>Jo</v>
      </c>
      <c r="I191" s="28" t="str">
        <f t="shared" si="19"/>
        <v>hn</v>
      </c>
      <c r="J191" s="27">
        <f t="shared" si="20"/>
        <v>4</v>
      </c>
      <c r="K191" s="1" t="str">
        <f t="shared" si="21"/>
        <v>JOHN</v>
      </c>
      <c r="L191" s="1" t="str">
        <f t="shared" si="22"/>
        <v>john</v>
      </c>
      <c r="M191" s="1" t="str">
        <f t="shared" si="23"/>
        <v>John</v>
      </c>
      <c r="N191" s="1" t="str">
        <f t="shared" si="24"/>
        <v>John - HR</v>
      </c>
      <c r="O191" s="1" t="str">
        <f t="shared" si="25"/>
        <v>John  HR</v>
      </c>
      <c r="P191" s="1" t="str">
        <f t="shared" si="26"/>
        <v>Joh</v>
      </c>
    </row>
    <row r="192" spans="1:16" x14ac:dyDescent="0.3">
      <c r="A192" s="1">
        <v>1191</v>
      </c>
      <c r="B192" s="1" t="s">
        <v>13</v>
      </c>
      <c r="C192" s="1" t="s">
        <v>11</v>
      </c>
      <c r="D192" s="1" t="s">
        <v>9</v>
      </c>
      <c r="E192" s="1">
        <v>66992</v>
      </c>
      <c r="F192" s="1">
        <v>9201</v>
      </c>
      <c r="G192" s="24">
        <v>4</v>
      </c>
      <c r="H192" s="27" t="str">
        <f t="shared" si="18"/>
        <v>Te</v>
      </c>
      <c r="I192" s="28" t="str">
        <f t="shared" si="19"/>
        <v>ja</v>
      </c>
      <c r="J192" s="27">
        <f t="shared" si="20"/>
        <v>4</v>
      </c>
      <c r="K192" s="1" t="str">
        <f t="shared" si="21"/>
        <v>TEJA</v>
      </c>
      <c r="L192" s="1" t="str">
        <f t="shared" si="22"/>
        <v>teja</v>
      </c>
      <c r="M192" s="1" t="str">
        <f t="shared" si="23"/>
        <v>Teja</v>
      </c>
      <c r="N192" s="1" t="str">
        <f t="shared" si="24"/>
        <v>Teja - Finance</v>
      </c>
      <c r="O192" s="1" t="str">
        <f t="shared" si="25"/>
        <v>Teja  Finance</v>
      </c>
      <c r="P192" s="1" t="str">
        <f t="shared" si="26"/>
        <v>Tej</v>
      </c>
    </row>
    <row r="193" spans="1:16" x14ac:dyDescent="0.3">
      <c r="A193" s="1">
        <v>1192</v>
      </c>
      <c r="B193" s="1" t="s">
        <v>20</v>
      </c>
      <c r="C193" s="1" t="s">
        <v>8</v>
      </c>
      <c r="D193" s="1" t="s">
        <v>21</v>
      </c>
      <c r="E193" s="1">
        <v>44664</v>
      </c>
      <c r="F193" s="1">
        <v>8413</v>
      </c>
      <c r="G193" s="24">
        <v>6</v>
      </c>
      <c r="H193" s="27" t="str">
        <f t="shared" si="18"/>
        <v>Gi</v>
      </c>
      <c r="I193" s="28" t="str">
        <f t="shared" si="19"/>
        <v>ri</v>
      </c>
      <c r="J193" s="27">
        <f t="shared" si="20"/>
        <v>4</v>
      </c>
      <c r="K193" s="1" t="str">
        <f t="shared" si="21"/>
        <v>GIRI</v>
      </c>
      <c r="L193" s="1" t="str">
        <f t="shared" si="22"/>
        <v>giri</v>
      </c>
      <c r="M193" s="1" t="str">
        <f t="shared" si="23"/>
        <v>Giri</v>
      </c>
      <c r="N193" s="1" t="str">
        <f t="shared" si="24"/>
        <v>Giri - IT</v>
      </c>
      <c r="O193" s="1" t="str">
        <f t="shared" si="25"/>
        <v>Giri  IT</v>
      </c>
      <c r="P193" s="1" t="str">
        <f t="shared" si="26"/>
        <v>Gir</v>
      </c>
    </row>
    <row r="194" spans="1:16" x14ac:dyDescent="0.3">
      <c r="A194" s="1">
        <v>1193</v>
      </c>
      <c r="B194" s="1" t="s">
        <v>32</v>
      </c>
      <c r="C194" s="1" t="s">
        <v>14</v>
      </c>
      <c r="D194" s="1" t="s">
        <v>15</v>
      </c>
      <c r="E194" s="1">
        <v>47580</v>
      </c>
      <c r="F194" s="1">
        <v>4552</v>
      </c>
      <c r="G194" s="24">
        <v>6</v>
      </c>
      <c r="H194" s="27" t="str">
        <f t="shared" si="18"/>
        <v>Po</v>
      </c>
      <c r="I194" s="28" t="str">
        <f t="shared" si="19"/>
        <v>ja</v>
      </c>
      <c r="J194" s="27">
        <f t="shared" si="20"/>
        <v>5</v>
      </c>
      <c r="K194" s="1" t="str">
        <f t="shared" si="21"/>
        <v>POOJA</v>
      </c>
      <c r="L194" s="1" t="str">
        <f t="shared" si="22"/>
        <v>pooja</v>
      </c>
      <c r="M194" s="1" t="str">
        <f t="shared" si="23"/>
        <v>Pooja</v>
      </c>
      <c r="N194" s="1" t="str">
        <f t="shared" si="24"/>
        <v>Pooja - HR</v>
      </c>
      <c r="O194" s="1" t="str">
        <f t="shared" si="25"/>
        <v>Pooja  HR</v>
      </c>
      <c r="P194" s="1" t="str">
        <f t="shared" si="26"/>
        <v>Poo</v>
      </c>
    </row>
    <row r="195" spans="1:16" x14ac:dyDescent="0.3">
      <c r="A195" s="1">
        <v>1194</v>
      </c>
      <c r="B195" s="1" t="s">
        <v>13</v>
      </c>
      <c r="C195" s="1" t="s">
        <v>8</v>
      </c>
      <c r="D195" s="1" t="s">
        <v>21</v>
      </c>
      <c r="E195" s="1">
        <v>36345</v>
      </c>
      <c r="F195" s="1">
        <v>9023</v>
      </c>
      <c r="G195" s="24">
        <v>6</v>
      </c>
      <c r="H195" s="27" t="str">
        <f t="shared" ref="H195:H201" si="27">LEFT(B195,2)</f>
        <v>Te</v>
      </c>
      <c r="I195" s="28" t="str">
        <f t="shared" ref="I195:I201" si="28">RIGHT(B195,2)</f>
        <v>ja</v>
      </c>
      <c r="J195" s="27">
        <f t="shared" ref="J195:J201" si="29">LEN(B195)</f>
        <v>4</v>
      </c>
      <c r="K195" s="1" t="str">
        <f t="shared" ref="K195:K201" si="30">UPPER(B195)</f>
        <v>TEJA</v>
      </c>
      <c r="L195" s="1" t="str">
        <f t="shared" ref="L195:L201" si="31">LOWER(B195)</f>
        <v>teja</v>
      </c>
      <c r="M195" s="1" t="str">
        <f t="shared" ref="M195:M201" si="32">TRIM(B195)</f>
        <v>Teja</v>
      </c>
      <c r="N195" s="1" t="str">
        <f t="shared" ref="N195:N201" si="33">_xlfn.CONCAT(B195,  " - ", C195)</f>
        <v>Teja - IT</v>
      </c>
      <c r="O195" s="1" t="str">
        <f t="shared" ref="O195:O201" si="34">SUBSTITUTE(N195," -", " ")</f>
        <v>Teja  IT</v>
      </c>
      <c r="P195" s="1" t="str">
        <f t="shared" ref="P195:P201" si="35">MID(B195,1,3)</f>
        <v>Tej</v>
      </c>
    </row>
    <row r="196" spans="1:16" x14ac:dyDescent="0.3">
      <c r="A196" s="1">
        <v>1195</v>
      </c>
      <c r="B196" s="1" t="s">
        <v>33</v>
      </c>
      <c r="C196" s="1" t="s">
        <v>8</v>
      </c>
      <c r="D196" s="1" t="s">
        <v>15</v>
      </c>
      <c r="E196" s="1">
        <v>52111</v>
      </c>
      <c r="F196" s="1">
        <v>5478</v>
      </c>
      <c r="G196" s="24">
        <v>9</v>
      </c>
      <c r="H196" s="27" t="str">
        <f t="shared" si="27"/>
        <v>Da</v>
      </c>
      <c r="I196" s="28" t="str">
        <f t="shared" si="28"/>
        <v>id</v>
      </c>
      <c r="J196" s="27">
        <f t="shared" si="29"/>
        <v>5</v>
      </c>
      <c r="K196" s="1" t="str">
        <f t="shared" si="30"/>
        <v>DAVID</v>
      </c>
      <c r="L196" s="1" t="str">
        <f t="shared" si="31"/>
        <v>david</v>
      </c>
      <c r="M196" s="1" t="str">
        <f t="shared" si="32"/>
        <v>David</v>
      </c>
      <c r="N196" s="1" t="str">
        <f t="shared" si="33"/>
        <v>David - IT</v>
      </c>
      <c r="O196" s="1" t="str">
        <f t="shared" si="34"/>
        <v>David  IT</v>
      </c>
      <c r="P196" s="1" t="str">
        <f t="shared" si="35"/>
        <v>Dav</v>
      </c>
    </row>
    <row r="197" spans="1:16" x14ac:dyDescent="0.3">
      <c r="A197" s="1">
        <v>1196</v>
      </c>
      <c r="B197" s="1" t="s">
        <v>26</v>
      </c>
      <c r="C197" s="1" t="s">
        <v>11</v>
      </c>
      <c r="D197" s="1" t="s">
        <v>21</v>
      </c>
      <c r="E197" s="1">
        <v>64671</v>
      </c>
      <c r="F197" s="1">
        <v>8872</v>
      </c>
      <c r="G197" s="24">
        <v>2</v>
      </c>
      <c r="H197" s="27" t="str">
        <f t="shared" si="27"/>
        <v>Ch</v>
      </c>
      <c r="I197" s="28" t="str">
        <f t="shared" si="28"/>
        <v>an</v>
      </c>
      <c r="J197" s="27">
        <f t="shared" si="29"/>
        <v>6</v>
      </c>
      <c r="K197" s="1" t="str">
        <f t="shared" si="30"/>
        <v>CHARAN</v>
      </c>
      <c r="L197" s="1" t="str">
        <f t="shared" si="31"/>
        <v>charan</v>
      </c>
      <c r="M197" s="1" t="str">
        <f t="shared" si="32"/>
        <v>Charan</v>
      </c>
      <c r="N197" s="1" t="str">
        <f t="shared" si="33"/>
        <v>Charan - Finance</v>
      </c>
      <c r="O197" s="1" t="str">
        <f t="shared" si="34"/>
        <v>Charan  Finance</v>
      </c>
      <c r="P197" s="1" t="str">
        <f t="shared" si="35"/>
        <v>Cha</v>
      </c>
    </row>
    <row r="198" spans="1:16" x14ac:dyDescent="0.3">
      <c r="A198" s="1">
        <v>1197</v>
      </c>
      <c r="B198" s="1" t="s">
        <v>13</v>
      </c>
      <c r="C198" s="1" t="s">
        <v>11</v>
      </c>
      <c r="D198" s="1" t="s">
        <v>12</v>
      </c>
      <c r="E198" s="1">
        <v>40141</v>
      </c>
      <c r="F198" s="1">
        <v>8464</v>
      </c>
      <c r="G198" s="24">
        <v>5</v>
      </c>
      <c r="H198" s="27" t="str">
        <f t="shared" si="27"/>
        <v>Te</v>
      </c>
      <c r="I198" s="28" t="str">
        <f t="shared" si="28"/>
        <v>ja</v>
      </c>
      <c r="J198" s="27">
        <f t="shared" si="29"/>
        <v>4</v>
      </c>
      <c r="K198" s="1" t="str">
        <f t="shared" si="30"/>
        <v>TEJA</v>
      </c>
      <c r="L198" s="1" t="str">
        <f t="shared" si="31"/>
        <v>teja</v>
      </c>
      <c r="M198" s="1" t="str">
        <f t="shared" si="32"/>
        <v>Teja</v>
      </c>
      <c r="N198" s="1" t="str">
        <f t="shared" si="33"/>
        <v>Teja - Finance</v>
      </c>
      <c r="O198" s="1" t="str">
        <f t="shared" si="34"/>
        <v>Teja  Finance</v>
      </c>
      <c r="P198" s="1" t="str">
        <f t="shared" si="35"/>
        <v>Tej</v>
      </c>
    </row>
    <row r="199" spans="1:16" x14ac:dyDescent="0.3">
      <c r="A199" s="1">
        <v>1198</v>
      </c>
      <c r="B199" s="1" t="s">
        <v>18</v>
      </c>
      <c r="C199" s="1" t="s">
        <v>14</v>
      </c>
      <c r="D199" s="1" t="s">
        <v>21</v>
      </c>
      <c r="E199" s="1">
        <v>43489</v>
      </c>
      <c r="F199" s="1">
        <v>2907</v>
      </c>
      <c r="G199" s="24">
        <v>4</v>
      </c>
      <c r="H199" s="27" t="str">
        <f t="shared" si="27"/>
        <v>Ni</v>
      </c>
      <c r="I199" s="28" t="str">
        <f t="shared" si="28"/>
        <v>il</v>
      </c>
      <c r="J199" s="27">
        <f t="shared" si="29"/>
        <v>6</v>
      </c>
      <c r="K199" s="1" t="str">
        <f t="shared" si="30"/>
        <v>NIKHIL</v>
      </c>
      <c r="L199" s="1" t="str">
        <f t="shared" si="31"/>
        <v>nikhil</v>
      </c>
      <c r="M199" s="1" t="str">
        <f t="shared" si="32"/>
        <v>Nikhil</v>
      </c>
      <c r="N199" s="1" t="str">
        <f t="shared" si="33"/>
        <v>Nikhil - HR</v>
      </c>
      <c r="O199" s="1" t="str">
        <f t="shared" si="34"/>
        <v>Nikhil  HR</v>
      </c>
      <c r="P199" s="1" t="str">
        <f t="shared" si="35"/>
        <v>Nik</v>
      </c>
    </row>
    <row r="200" spans="1:16" x14ac:dyDescent="0.3">
      <c r="A200" s="1">
        <v>1199</v>
      </c>
      <c r="B200" s="1" t="s">
        <v>24</v>
      </c>
      <c r="C200" s="1" t="s">
        <v>8</v>
      </c>
      <c r="D200" s="1" t="s">
        <v>15</v>
      </c>
      <c r="E200" s="1">
        <v>69522</v>
      </c>
      <c r="F200" s="1">
        <v>7203</v>
      </c>
      <c r="G200" s="24">
        <v>7</v>
      </c>
      <c r="H200" s="27" t="str">
        <f t="shared" si="27"/>
        <v>Ba</v>
      </c>
      <c r="I200" s="28" t="str">
        <f t="shared" si="28"/>
        <v>la</v>
      </c>
      <c r="J200" s="27">
        <f t="shared" si="29"/>
        <v>4</v>
      </c>
      <c r="K200" s="1" t="str">
        <f t="shared" si="30"/>
        <v>BALA</v>
      </c>
      <c r="L200" s="1" t="str">
        <f t="shared" si="31"/>
        <v>bala</v>
      </c>
      <c r="M200" s="1" t="str">
        <f t="shared" si="32"/>
        <v>Bala</v>
      </c>
      <c r="N200" s="1" t="str">
        <f t="shared" si="33"/>
        <v>Bala - IT</v>
      </c>
      <c r="O200" s="1" t="str">
        <f t="shared" si="34"/>
        <v>Bala  IT</v>
      </c>
      <c r="P200" s="1" t="str">
        <f t="shared" si="35"/>
        <v>Bal</v>
      </c>
    </row>
    <row r="201" spans="1:16" x14ac:dyDescent="0.3">
      <c r="A201" s="1">
        <v>1200</v>
      </c>
      <c r="B201" s="1" t="s">
        <v>31</v>
      </c>
      <c r="C201" s="1" t="s">
        <v>8</v>
      </c>
      <c r="D201" s="1" t="s">
        <v>15</v>
      </c>
      <c r="E201" s="1">
        <v>31001</v>
      </c>
      <c r="F201" s="1">
        <v>6324</v>
      </c>
      <c r="G201" s="24">
        <v>9</v>
      </c>
      <c r="H201" s="27" t="str">
        <f t="shared" si="27"/>
        <v>Om</v>
      </c>
      <c r="I201" s="28" t="str">
        <f t="shared" si="28"/>
        <v>Om</v>
      </c>
      <c r="J201" s="27">
        <f t="shared" si="29"/>
        <v>2</v>
      </c>
      <c r="K201" s="1" t="str">
        <f t="shared" si="30"/>
        <v>OM</v>
      </c>
      <c r="L201" s="1" t="str">
        <f t="shared" si="31"/>
        <v>om</v>
      </c>
      <c r="M201" s="1" t="str">
        <f t="shared" si="32"/>
        <v>Om</v>
      </c>
      <c r="N201" s="1" t="str">
        <f t="shared" si="33"/>
        <v>Om - IT</v>
      </c>
      <c r="O201" s="1" t="str">
        <f t="shared" si="34"/>
        <v>Om  IT</v>
      </c>
      <c r="P201" s="1" t="str">
        <f t="shared" si="35"/>
        <v>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Original_dataset</vt:lpstr>
      <vt:lpstr>intermediate()</vt:lpstr>
      <vt:lpstr>if()_with_and()_or()</vt:lpstr>
      <vt:lpstr>text_functions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kornel</cp:lastModifiedBy>
  <dcterms:created xsi:type="dcterms:W3CDTF">2026-03-10T05:34:28Z</dcterms:created>
  <dcterms:modified xsi:type="dcterms:W3CDTF">2026-03-11T09:00:59Z</dcterms:modified>
</cp:coreProperties>
</file>